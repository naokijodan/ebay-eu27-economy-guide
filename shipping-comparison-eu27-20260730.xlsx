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・出典" sheetId="1" state="visible" r:id="rId1"/>
    <sheet xmlns:r="http://schemas.openxmlformats.org/officeDocument/2006/relationships" name="基礎データ" sheetId="2" state="visible" r:id="rId2"/>
    <sheet xmlns:r="http://schemas.openxmlformats.org/officeDocument/2006/relationships" name="合計比較" sheetId="3" state="visible" r:id="rId3"/>
    <sheet xmlns:r="http://schemas.openxmlformats.org/officeDocument/2006/relationships" name="EU27国別合計" sheetId="4" state="visible" r:id="rId4"/>
    <sheet xmlns:r="http://schemas.openxmlformats.org/officeDocument/2006/relationships" name="アメリカ" sheetId="5" state="visible" r:id="rId5"/>
    <sheet xmlns:r="http://schemas.openxmlformats.org/officeDocument/2006/relationships" name="イギリス" sheetId="6" state="visible" r:id="rId6"/>
    <sheet xmlns:r="http://schemas.openxmlformats.org/officeDocument/2006/relationships" name="オーストラリア" sheetId="7" state="visible" r:id="rId7"/>
    <sheet xmlns:r="http://schemas.openxmlformats.org/officeDocument/2006/relationships" name="サーチャージ構造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9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2" fillId="3" borderId="0" pivotButton="0" quotePrefix="0" xfId="0"/>
    <xf numFmtId="3" fontId="3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0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t="inlineStr">
        <is>
          <t>燃油サーチャージ率</t>
        </is>
      </c>
      <c r="B2" s="2" t="n">
        <v>0.12</v>
      </c>
      <c r="C2" t="inlineStr">
        <is>
          <t>2026-08-01発効12%（7/16〜7/31は11%）。全仕向地の基本送料に掛かる。出典: Orange Connex公式告知</t>
        </is>
      </c>
    </row>
    <row r="3">
      <c r="A3" t="inlineStr">
        <is>
          <t>EU関税（事前徴収）</t>
        </is>
      </c>
      <c r="B3" s="3" t="n">
        <v>555</v>
      </c>
      <c r="C3" t="inlineStr">
        <is>
          <t>円/関税分類番号(HSコード)。申告価値150ユーロ以下。出典: SpeedPAK Economy料金ガイド</t>
        </is>
      </c>
    </row>
    <row r="4">
      <c r="A4" t="inlineStr">
        <is>
          <t>関税処理手数料率</t>
        </is>
      </c>
      <c r="B4" s="4" t="n">
        <v>0.021</v>
      </c>
      <c r="C4" t="inlineStr">
        <is>
          <t>関税・税金等合計の2.1%（EU・米国共通）</t>
        </is>
      </c>
    </row>
    <row r="5">
      <c r="A5" t="inlineStr">
        <is>
          <t>米国輸入通関手数料</t>
        </is>
      </c>
      <c r="B5" s="3" t="n">
        <v>245</v>
      </c>
      <c r="C5" t="inlineStr">
        <is>
          <t>円/件。全ての米国向け貨物に適用</t>
        </is>
      </c>
    </row>
    <row r="6">
      <c r="A6" t="inlineStr">
        <is>
          <t>為替（参考換算用）</t>
        </is>
      </c>
      <c r="B6" s="3" t="n">
        <v>150</v>
      </c>
      <c r="C6" t="inlineStr">
        <is>
          <t>円/米ドル。参考値（青字は変更可）</t>
        </is>
      </c>
    </row>
    <row r="8">
      <c r="A8" t="inlineStr">
        <is>
          <t>■料金基準: eBay SpeedPAK Economy（eBay注文用）。出典＝RATE GUIDE of eBay SpeedPAK Economy-JP.pdf（2026-07-30発効）p.6-7(米)/p.10(英)/p.13-14(EU27)/p.17(豪)。</t>
        </is>
      </c>
    </row>
    <row r="9">
      <c r="A9" t="inlineStr">
        <is>
          <t>■フォルダ内のExcel4本はOrange Connex (Multi-Channel) Ship via Economy（eBay以外の販路用・約1割高い）の料金表のため、本表では使用していない。</t>
        </is>
      </c>
    </row>
    <row r="10">
      <c r="A10" t="inlineStr">
        <is>
          <t>■イギリスも燃油サーチャージは基本送料に含まれず加算する（SpeedPAK料金ガイドp.10注記2）。※Multi-Channel版Excelのみ燃油込み表記だった。</t>
        </is>
      </c>
    </row>
    <row r="11">
      <c r="A11" t="inlineStr">
        <is>
          <t>■前提条件: 同一貨物（通常サイズ・繁忙期外・1商品=関税分類1つ）。</t>
        </is>
      </c>
    </row>
    <row r="12">
      <c r="A12" t="inlineStr">
        <is>
          <t>■アメリカは表の金額に加えて「推定米国関税（申告額×事前設定レート）＋その関税額の2.1%」が別途（率は非公表=Unknown、アメリカタブで想定計算可）。</t>
        </is>
      </c>
    </row>
    <row r="13">
      <c r="A13" t="inlineStr">
        <is>
          <t>■イギリス(£135以下)・オーストラリア(AUD1,000以下)のVAT/GSTはeBayがバイヤーから徴収するため送料側の負担なし。</t>
        </is>
      </c>
    </row>
    <row r="14">
      <c r="A14" t="inlineStr">
        <is>
          <t>■条件付き費用（通常は発生しない・表に含まず）: 米国 規定外寸法2,475円 / EU バルキー2,520円・繁忙期割増34円(11/1〜12/31) / 豪州 検疫・正式申告等。</t>
        </is>
      </c>
    </row>
    <row r="15">
      <c r="A15" t="inlineStr">
        <is>
          <t>■燃油率の告知: orangeconnex.jp ニュース（2026-07-15付=11%、2026-07-29付=12%）。2週間ごと更新。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t="inlineStr">
        <is>
          <t>基本送料（円・燃油等含まず）。出典: eBay SpeedPAK Economy料金ガイドPDF（2026-07-30発効）</t>
        </is>
      </c>
    </row>
    <row r="2">
      <c r="A2" s="5" t="inlineStr">
        <is>
          <t>重量kg最大</t>
        </is>
      </c>
      <c r="B2" s="5" t="inlineStr">
        <is>
          <t>US本土48州</t>
        </is>
      </c>
      <c r="C2" s="5" t="inlineStr">
        <is>
          <t>イギリス</t>
        </is>
      </c>
      <c r="D2" s="5" t="inlineStr">
        <is>
          <t>オーストラリア</t>
        </is>
      </c>
      <c r="E2" s="5" t="inlineStr">
        <is>
          <t>DE</t>
        </is>
      </c>
      <c r="F2" s="5" t="inlineStr">
        <is>
          <t>AT</t>
        </is>
      </c>
      <c r="G2" s="5" t="inlineStr">
        <is>
          <t>BE</t>
        </is>
      </c>
      <c r="H2" s="5" t="inlineStr">
        <is>
          <t>BG</t>
        </is>
      </c>
      <c r="I2" s="5" t="inlineStr">
        <is>
          <t>CY</t>
        </is>
      </c>
      <c r="J2" s="5" t="inlineStr">
        <is>
          <t>CZ</t>
        </is>
      </c>
      <c r="K2" s="5" t="inlineStr">
        <is>
          <t>DK</t>
        </is>
      </c>
      <c r="L2" s="5" t="inlineStr">
        <is>
          <t>EE</t>
        </is>
      </c>
      <c r="M2" s="5" t="inlineStr">
        <is>
          <t>ES</t>
        </is>
      </c>
      <c r="N2" s="5" t="inlineStr">
        <is>
          <t>FI</t>
        </is>
      </c>
      <c r="O2" s="5" t="inlineStr">
        <is>
          <t>FR</t>
        </is>
      </c>
      <c r="P2" s="5" t="inlineStr">
        <is>
          <t>GR</t>
        </is>
      </c>
      <c r="Q2" s="5" t="inlineStr">
        <is>
          <t>HR</t>
        </is>
      </c>
      <c r="R2" s="5" t="inlineStr">
        <is>
          <t>HU</t>
        </is>
      </c>
      <c r="S2" s="5" t="inlineStr">
        <is>
          <t>IE</t>
        </is>
      </c>
      <c r="T2" s="5" t="inlineStr">
        <is>
          <t>IT</t>
        </is>
      </c>
      <c r="U2" s="5" t="inlineStr">
        <is>
          <t>LT</t>
        </is>
      </c>
      <c r="V2" s="5" t="inlineStr">
        <is>
          <t>LU</t>
        </is>
      </c>
      <c r="W2" s="5" t="inlineStr">
        <is>
          <t>LV</t>
        </is>
      </c>
      <c r="X2" s="5" t="inlineStr">
        <is>
          <t>MT</t>
        </is>
      </c>
      <c r="Y2" s="5" t="inlineStr">
        <is>
          <t>NL</t>
        </is>
      </c>
      <c r="Z2" s="5" t="inlineStr">
        <is>
          <t>PL</t>
        </is>
      </c>
      <c r="AA2" s="5" t="inlineStr">
        <is>
          <t>PT</t>
        </is>
      </c>
      <c r="AB2" s="5" t="inlineStr">
        <is>
          <t>RO</t>
        </is>
      </c>
      <c r="AC2" s="5" t="inlineStr">
        <is>
          <t>SE</t>
        </is>
      </c>
      <c r="AD2" s="5" t="inlineStr">
        <is>
          <t>SI</t>
        </is>
      </c>
      <c r="AE2" s="5" t="inlineStr">
        <is>
          <t>SK</t>
        </is>
      </c>
    </row>
    <row r="3">
      <c r="A3" t="n">
        <v>0.1</v>
      </c>
      <c r="B3" s="6" t="n">
        <v>1157</v>
      </c>
      <c r="C3" s="6" t="n">
        <v>885</v>
      </c>
      <c r="D3" s="6" t="n">
        <v>1077</v>
      </c>
      <c r="E3" s="6" t="n">
        <v>1440</v>
      </c>
      <c r="F3" s="6" t="n">
        <v>1942</v>
      </c>
      <c r="G3" s="6" t="n">
        <v>2234</v>
      </c>
      <c r="H3" s="6" t="n">
        <v>1883</v>
      </c>
      <c r="I3" s="6" t="n">
        <v>3861</v>
      </c>
      <c r="J3" s="6" t="n">
        <v>2234</v>
      </c>
      <c r="K3" s="6" t="n">
        <v>2205</v>
      </c>
      <c r="L3" s="6" t="n">
        <v>2352</v>
      </c>
      <c r="M3" s="6" t="n">
        <v>1793</v>
      </c>
      <c r="N3" s="6" t="n">
        <v>2991</v>
      </c>
      <c r="O3" s="6" t="n">
        <v>1963</v>
      </c>
      <c r="P3" s="6" t="n">
        <v>1810</v>
      </c>
      <c r="Q3" s="6" t="n">
        <v>2264</v>
      </c>
      <c r="R3" s="6" t="n">
        <v>1810</v>
      </c>
      <c r="S3" s="6" t="n">
        <v>2071</v>
      </c>
      <c r="T3" s="6" t="n">
        <v>1996</v>
      </c>
      <c r="U3" s="6" t="n">
        <v>1712</v>
      </c>
      <c r="V3" s="6" t="n">
        <v>1979</v>
      </c>
      <c r="W3" s="6" t="n">
        <v>2032</v>
      </c>
      <c r="X3" s="6" t="n">
        <v>3015</v>
      </c>
      <c r="Y3" s="6" t="n">
        <v>2104</v>
      </c>
      <c r="Z3" s="6" t="n">
        <v>1610</v>
      </c>
      <c r="AA3" s="6" t="n">
        <v>1784</v>
      </c>
      <c r="AB3" s="6" t="n">
        <v>1738</v>
      </c>
      <c r="AC3" s="6" t="n">
        <v>1629</v>
      </c>
      <c r="AD3" s="6" t="n">
        <v>2217</v>
      </c>
      <c r="AE3" s="6" t="n">
        <v>2160</v>
      </c>
    </row>
    <row r="4">
      <c r="A4" t="n">
        <v>0.2</v>
      </c>
      <c r="B4" s="6" t="n">
        <v>1289</v>
      </c>
      <c r="C4" s="6" t="n">
        <v>1012</v>
      </c>
      <c r="D4" s="6" t="n">
        <v>1247</v>
      </c>
      <c r="E4" s="6" t="n">
        <v>1664</v>
      </c>
      <c r="F4" s="6" t="n">
        <v>2281</v>
      </c>
      <c r="G4" s="6" t="n">
        <v>2522</v>
      </c>
      <c r="H4" s="6" t="n">
        <v>2233</v>
      </c>
      <c r="I4" s="6" t="n">
        <v>4296</v>
      </c>
      <c r="J4" s="6" t="n">
        <v>2515</v>
      </c>
      <c r="K4" s="6" t="n">
        <v>2471</v>
      </c>
      <c r="L4" s="6" t="n">
        <v>2751</v>
      </c>
      <c r="M4" s="6" t="n">
        <v>2119</v>
      </c>
      <c r="N4" s="6" t="n">
        <v>3255</v>
      </c>
      <c r="O4" s="6" t="n">
        <v>2313</v>
      </c>
      <c r="P4" s="6" t="n">
        <v>2239</v>
      </c>
      <c r="Q4" s="6" t="n">
        <v>2613</v>
      </c>
      <c r="R4" s="6" t="n">
        <v>2158</v>
      </c>
      <c r="S4" s="6" t="n">
        <v>2411</v>
      </c>
      <c r="T4" s="6" t="n">
        <v>2319</v>
      </c>
      <c r="U4" s="6" t="n">
        <v>2119</v>
      </c>
      <c r="V4" s="6" t="n">
        <v>2254</v>
      </c>
      <c r="W4" s="6" t="n">
        <v>2437</v>
      </c>
      <c r="X4" s="6" t="n">
        <v>3579</v>
      </c>
      <c r="Y4" s="6" t="n">
        <v>2367</v>
      </c>
      <c r="Z4" s="6" t="n">
        <v>1957</v>
      </c>
      <c r="AA4" s="6" t="n">
        <v>2090</v>
      </c>
      <c r="AB4" s="6" t="n">
        <v>2084</v>
      </c>
      <c r="AC4" s="6" t="n">
        <v>1889</v>
      </c>
      <c r="AD4" s="6" t="n">
        <v>2569</v>
      </c>
      <c r="AE4" s="6" t="n">
        <v>2513</v>
      </c>
    </row>
    <row r="5">
      <c r="A5" t="n">
        <v>0.3</v>
      </c>
      <c r="B5" s="6" t="n">
        <v>1491</v>
      </c>
      <c r="C5" s="6" t="n">
        <v>1173</v>
      </c>
      <c r="D5" s="6" t="n">
        <v>1422</v>
      </c>
      <c r="E5" s="6" t="n">
        <v>1902</v>
      </c>
      <c r="F5" s="6" t="n">
        <v>2412</v>
      </c>
      <c r="G5" s="6" t="n">
        <v>2654</v>
      </c>
      <c r="H5" s="6" t="n">
        <v>2363</v>
      </c>
      <c r="I5" s="6" t="n">
        <v>4427</v>
      </c>
      <c r="J5" s="6" t="n">
        <v>2646</v>
      </c>
      <c r="K5" s="6" t="n">
        <v>2603</v>
      </c>
      <c r="L5" s="6" t="n">
        <v>2882</v>
      </c>
      <c r="M5" s="6" t="n">
        <v>2248</v>
      </c>
      <c r="N5" s="6" t="n">
        <v>3386</v>
      </c>
      <c r="O5" s="6" t="n">
        <v>2445</v>
      </c>
      <c r="P5" s="6" t="n">
        <v>2370</v>
      </c>
      <c r="Q5" s="6" t="n">
        <v>2741</v>
      </c>
      <c r="R5" s="6" t="n">
        <v>2289</v>
      </c>
      <c r="S5" s="6" t="n">
        <v>2541</v>
      </c>
      <c r="T5" s="6" t="n">
        <v>2449</v>
      </c>
      <c r="U5" s="6" t="n">
        <v>2248</v>
      </c>
      <c r="V5" s="6" t="n">
        <v>2384</v>
      </c>
      <c r="W5" s="6" t="n">
        <v>2567</v>
      </c>
      <c r="X5" s="6" t="n">
        <v>3710</v>
      </c>
      <c r="Y5" s="6" t="n">
        <v>2498</v>
      </c>
      <c r="Z5" s="6" t="n">
        <v>2088</v>
      </c>
      <c r="AA5" s="6" t="n">
        <v>2221</v>
      </c>
      <c r="AB5" s="6" t="n">
        <v>2214</v>
      </c>
      <c r="AC5" s="6" t="n">
        <v>2020</v>
      </c>
      <c r="AD5" s="6" t="n">
        <v>2699</v>
      </c>
      <c r="AE5" s="6" t="n">
        <v>2643</v>
      </c>
    </row>
    <row r="6">
      <c r="A6" t="n">
        <v>0.4</v>
      </c>
      <c r="B6" s="6" t="n">
        <v>1677</v>
      </c>
      <c r="C6" s="6" t="n">
        <v>1349</v>
      </c>
      <c r="D6" s="6" t="n">
        <v>1451</v>
      </c>
      <c r="E6" s="6" t="n">
        <v>2044</v>
      </c>
      <c r="F6" s="6" t="n">
        <v>2829</v>
      </c>
      <c r="G6" s="6" t="n">
        <v>2971</v>
      </c>
      <c r="H6" s="6" t="n">
        <v>2799</v>
      </c>
      <c r="I6" s="6" t="n">
        <v>5027</v>
      </c>
      <c r="J6" s="6" t="n">
        <v>2930</v>
      </c>
      <c r="K6" s="6" t="n">
        <v>2865</v>
      </c>
      <c r="L6" s="6" t="n">
        <v>3430</v>
      </c>
      <c r="M6" s="6" t="n">
        <v>2637</v>
      </c>
      <c r="N6" s="6" t="n">
        <v>3648</v>
      </c>
      <c r="O6" s="6" t="n">
        <v>2934</v>
      </c>
      <c r="P6" s="6" t="n">
        <v>2971</v>
      </c>
      <c r="Q6" s="6" t="n">
        <v>3180</v>
      </c>
      <c r="R6" s="6" t="n">
        <v>2728</v>
      </c>
      <c r="S6" s="6" t="n">
        <v>2963</v>
      </c>
      <c r="T6" s="6" t="n">
        <v>2838</v>
      </c>
      <c r="U6" s="6" t="n">
        <v>2792</v>
      </c>
      <c r="V6" s="6" t="n">
        <v>2691</v>
      </c>
      <c r="W6" s="6" t="n">
        <v>3113</v>
      </c>
      <c r="X6" s="6" t="n">
        <v>4569</v>
      </c>
      <c r="Y6" s="6" t="n">
        <v>2761</v>
      </c>
      <c r="Z6" s="6" t="n">
        <v>2520</v>
      </c>
      <c r="AA6" s="6" t="n">
        <v>2571</v>
      </c>
      <c r="AB6" s="6" t="n">
        <v>2654</v>
      </c>
      <c r="AC6" s="6" t="n">
        <v>2281</v>
      </c>
      <c r="AD6" s="6" t="n">
        <v>3137</v>
      </c>
      <c r="AE6" s="6" t="n">
        <v>3092</v>
      </c>
    </row>
    <row r="7">
      <c r="A7" t="n">
        <v>0.5</v>
      </c>
      <c r="B7" s="6" t="n">
        <v>1943</v>
      </c>
      <c r="C7" s="6" t="n">
        <v>1482</v>
      </c>
      <c r="D7" s="6" t="n">
        <v>1537</v>
      </c>
      <c r="E7" s="6" t="n">
        <v>2296</v>
      </c>
      <c r="F7" s="6" t="n">
        <v>3088</v>
      </c>
      <c r="G7" s="6" t="n">
        <v>3233</v>
      </c>
      <c r="H7" s="6" t="n">
        <v>3061</v>
      </c>
      <c r="I7" s="6" t="n">
        <v>5288</v>
      </c>
      <c r="J7" s="6" t="n">
        <v>3190</v>
      </c>
      <c r="K7" s="6" t="n">
        <v>3126</v>
      </c>
      <c r="L7" s="6" t="n">
        <v>3691</v>
      </c>
      <c r="M7" s="6" t="n">
        <v>2897</v>
      </c>
      <c r="N7" s="6" t="n">
        <v>3909</v>
      </c>
      <c r="O7" s="6" t="n">
        <v>3196</v>
      </c>
      <c r="P7" s="6" t="n">
        <v>3233</v>
      </c>
      <c r="Q7" s="6" t="n">
        <v>3442</v>
      </c>
      <c r="R7" s="6" t="n">
        <v>2988</v>
      </c>
      <c r="S7" s="6" t="n">
        <v>3224</v>
      </c>
      <c r="T7" s="6" t="n">
        <v>3098</v>
      </c>
      <c r="U7" s="6" t="n">
        <v>3053</v>
      </c>
      <c r="V7" s="6" t="n">
        <v>2952</v>
      </c>
      <c r="W7" s="6" t="n">
        <v>3374</v>
      </c>
      <c r="X7" s="6" t="n">
        <v>4829</v>
      </c>
      <c r="Y7" s="6" t="n">
        <v>3021</v>
      </c>
      <c r="Z7" s="6" t="n">
        <v>2781</v>
      </c>
      <c r="AA7" s="6" t="n">
        <v>2832</v>
      </c>
      <c r="AB7" s="6" t="n">
        <v>2916</v>
      </c>
      <c r="AC7" s="6" t="n">
        <v>2542</v>
      </c>
      <c r="AD7" s="6" t="n">
        <v>3396</v>
      </c>
      <c r="AE7" s="6" t="n">
        <v>3353</v>
      </c>
    </row>
    <row r="8">
      <c r="A8" t="n">
        <v>0.6</v>
      </c>
      <c r="B8" s="6" t="n">
        <v>2096</v>
      </c>
      <c r="C8" s="6" t="n">
        <v>1606</v>
      </c>
      <c r="D8" s="6" t="n">
        <v>1709</v>
      </c>
      <c r="E8" s="6" t="n">
        <v>2504</v>
      </c>
      <c r="F8" s="6" t="n">
        <v>3219</v>
      </c>
      <c r="G8" s="6" t="n">
        <v>3363</v>
      </c>
      <c r="H8" s="6" t="n">
        <v>3191</v>
      </c>
      <c r="I8" s="6" t="n">
        <v>5419</v>
      </c>
      <c r="J8" s="6" t="n">
        <v>3321</v>
      </c>
      <c r="K8" s="6" t="n">
        <v>3256</v>
      </c>
      <c r="L8" s="6" t="n">
        <v>3821</v>
      </c>
      <c r="M8" s="6" t="n">
        <v>3028</v>
      </c>
      <c r="N8" s="6" t="n">
        <v>4040</v>
      </c>
      <c r="O8" s="6" t="n">
        <v>3326</v>
      </c>
      <c r="P8" s="6" t="n">
        <v>3363</v>
      </c>
      <c r="Q8" s="6" t="n">
        <v>3572</v>
      </c>
      <c r="R8" s="6" t="n">
        <v>3120</v>
      </c>
      <c r="S8" s="6" t="n">
        <v>3353</v>
      </c>
      <c r="T8" s="6" t="n">
        <v>3229</v>
      </c>
      <c r="U8" s="6" t="n">
        <v>3182</v>
      </c>
      <c r="V8" s="6" t="n">
        <v>3080</v>
      </c>
      <c r="W8" s="6" t="n">
        <v>3504</v>
      </c>
      <c r="X8" s="6" t="n">
        <v>4961</v>
      </c>
      <c r="Y8" s="6" t="n">
        <v>3152</v>
      </c>
      <c r="Z8" s="6" t="n">
        <v>2911</v>
      </c>
      <c r="AA8" s="6" t="n">
        <v>2962</v>
      </c>
      <c r="AB8" s="6" t="n">
        <v>3046</v>
      </c>
      <c r="AC8" s="6" t="n">
        <v>2671</v>
      </c>
      <c r="AD8" s="6" t="n">
        <v>3527</v>
      </c>
      <c r="AE8" s="6" t="n">
        <v>3484</v>
      </c>
    </row>
    <row r="9">
      <c r="A9" t="n">
        <v>0.7</v>
      </c>
      <c r="B9" s="6" t="n">
        <v>2189</v>
      </c>
      <c r="C9" s="6" t="n">
        <v>1746</v>
      </c>
      <c r="D9" s="6" t="n">
        <v>1742</v>
      </c>
      <c r="E9" s="6" t="n">
        <v>2742</v>
      </c>
      <c r="F9" s="6" t="n">
        <v>3635</v>
      </c>
      <c r="G9" s="6" t="n">
        <v>3679</v>
      </c>
      <c r="H9" s="6" t="n">
        <v>3629</v>
      </c>
      <c r="I9" s="6" t="n">
        <v>6021</v>
      </c>
      <c r="J9" s="6" t="n">
        <v>3601</v>
      </c>
      <c r="K9" s="6" t="n">
        <v>3521</v>
      </c>
      <c r="L9" s="6" t="n">
        <v>4368</v>
      </c>
      <c r="M9" s="6" t="n">
        <v>3413</v>
      </c>
      <c r="N9" s="6" t="n">
        <v>4304</v>
      </c>
      <c r="O9" s="6" t="n">
        <v>3823</v>
      </c>
      <c r="P9" s="6" t="n">
        <v>3963</v>
      </c>
      <c r="Q9" s="6" t="n">
        <v>4012</v>
      </c>
      <c r="R9" s="6" t="n">
        <v>3557</v>
      </c>
      <c r="S9" s="6" t="n">
        <v>3775</v>
      </c>
      <c r="T9" s="6" t="n">
        <v>3617</v>
      </c>
      <c r="U9" s="6" t="n">
        <v>3729</v>
      </c>
      <c r="V9" s="6" t="n">
        <v>3386</v>
      </c>
      <c r="W9" s="6" t="n">
        <v>4046</v>
      </c>
      <c r="X9" s="6" t="n">
        <v>5826</v>
      </c>
      <c r="Y9" s="6" t="n">
        <v>3416</v>
      </c>
      <c r="Z9" s="6" t="n">
        <v>3341</v>
      </c>
      <c r="AA9" s="6" t="n">
        <v>3408</v>
      </c>
      <c r="AB9" s="6" t="n">
        <v>3485</v>
      </c>
      <c r="AC9" s="6" t="n">
        <v>3030</v>
      </c>
      <c r="AD9" s="6" t="n">
        <v>3965</v>
      </c>
      <c r="AE9" s="6" t="n">
        <v>3933</v>
      </c>
    </row>
    <row r="10">
      <c r="A10" t="n">
        <v>0.8</v>
      </c>
      <c r="B10" s="6" t="n">
        <v>2549</v>
      </c>
      <c r="C10" s="6" t="n">
        <v>1856</v>
      </c>
      <c r="D10" s="6" t="n">
        <v>1883</v>
      </c>
      <c r="E10" s="6" t="n">
        <v>3102</v>
      </c>
      <c r="F10" s="6" t="n">
        <v>3766</v>
      </c>
      <c r="G10" s="6" t="n">
        <v>3807</v>
      </c>
      <c r="H10" s="6" t="n">
        <v>3759</v>
      </c>
      <c r="I10" s="6" t="n">
        <v>6151</v>
      </c>
      <c r="J10" s="6" t="n">
        <v>3732</v>
      </c>
      <c r="K10" s="6" t="n">
        <v>3651</v>
      </c>
      <c r="L10" s="6" t="n">
        <v>4498</v>
      </c>
      <c r="M10" s="6" t="n">
        <v>3544</v>
      </c>
      <c r="N10" s="6" t="n">
        <v>4434</v>
      </c>
      <c r="O10" s="6" t="n">
        <v>3954</v>
      </c>
      <c r="P10" s="6" t="n">
        <v>4094</v>
      </c>
      <c r="Q10" s="6" t="n">
        <v>4142</v>
      </c>
      <c r="R10" s="6" t="n">
        <v>3688</v>
      </c>
      <c r="S10" s="6" t="n">
        <v>3905</v>
      </c>
      <c r="T10" s="6" t="n">
        <v>3747</v>
      </c>
      <c r="U10" s="6" t="n">
        <v>3858</v>
      </c>
      <c r="V10" s="6" t="n">
        <v>3516</v>
      </c>
      <c r="W10" s="6" t="n">
        <v>4177</v>
      </c>
      <c r="X10" s="6" t="n">
        <v>5955</v>
      </c>
      <c r="Y10" s="6" t="n">
        <v>3546</v>
      </c>
      <c r="Z10" s="6" t="n">
        <v>3472</v>
      </c>
      <c r="AA10" s="6" t="n">
        <v>3538</v>
      </c>
      <c r="AB10" s="6" t="n">
        <v>3615</v>
      </c>
      <c r="AC10" s="6" t="n">
        <v>3161</v>
      </c>
      <c r="AD10" s="6" t="n">
        <v>4096</v>
      </c>
      <c r="AE10" s="6" t="n">
        <v>4063</v>
      </c>
    </row>
    <row r="11">
      <c r="A11" t="n">
        <v>0.9</v>
      </c>
      <c r="B11" s="6" t="n">
        <v>2660</v>
      </c>
      <c r="C11" s="6" t="n">
        <v>2000</v>
      </c>
      <c r="D11" s="6" t="n">
        <v>1950</v>
      </c>
      <c r="E11" s="6" t="n">
        <v>3319</v>
      </c>
      <c r="F11" s="6" t="n">
        <v>4027</v>
      </c>
      <c r="G11" s="6" t="n">
        <v>4069</v>
      </c>
      <c r="H11" s="6" t="n">
        <v>4021</v>
      </c>
      <c r="I11" s="6" t="n">
        <v>6413</v>
      </c>
      <c r="J11" s="6" t="n">
        <v>3993</v>
      </c>
      <c r="K11" s="6" t="n">
        <v>3912</v>
      </c>
      <c r="L11" s="6" t="n">
        <v>4759</v>
      </c>
      <c r="M11" s="6" t="n">
        <v>3804</v>
      </c>
      <c r="N11" s="6" t="n">
        <v>4696</v>
      </c>
      <c r="O11" s="6" t="n">
        <v>4215</v>
      </c>
      <c r="P11" s="6" t="n">
        <v>4354</v>
      </c>
      <c r="Q11" s="6" t="n">
        <v>4403</v>
      </c>
      <c r="R11" s="6" t="n">
        <v>3947</v>
      </c>
      <c r="S11" s="6" t="n">
        <v>4167</v>
      </c>
      <c r="T11" s="6" t="n">
        <v>4009</v>
      </c>
      <c r="U11" s="6" t="n">
        <v>4120</v>
      </c>
      <c r="V11" s="6" t="n">
        <v>3776</v>
      </c>
      <c r="W11" s="6" t="n">
        <v>4438</v>
      </c>
      <c r="X11" s="6" t="n">
        <v>6217</v>
      </c>
      <c r="Y11" s="6" t="n">
        <v>3807</v>
      </c>
      <c r="Z11" s="6" t="n">
        <v>3733</v>
      </c>
      <c r="AA11" s="6" t="n">
        <v>3800</v>
      </c>
      <c r="AB11" s="6" t="n">
        <v>3877</v>
      </c>
      <c r="AC11" s="6" t="n">
        <v>3420</v>
      </c>
      <c r="AD11" s="6" t="n">
        <v>4356</v>
      </c>
      <c r="AE11" s="6" t="n">
        <v>4323</v>
      </c>
    </row>
    <row r="12">
      <c r="A12" t="n">
        <v>1</v>
      </c>
      <c r="B12" s="6" t="n">
        <v>2848</v>
      </c>
      <c r="C12" s="6" t="n">
        <v>2113</v>
      </c>
      <c r="D12" s="6" t="n">
        <v>1950</v>
      </c>
      <c r="E12" s="6" t="n">
        <v>3400</v>
      </c>
      <c r="F12" s="6" t="n">
        <v>4441</v>
      </c>
      <c r="G12" s="6" t="n">
        <v>4390</v>
      </c>
      <c r="H12" s="6" t="n">
        <v>4461</v>
      </c>
      <c r="I12" s="6" t="n">
        <v>7012</v>
      </c>
      <c r="J12" s="6" t="n">
        <v>4279</v>
      </c>
      <c r="K12" s="6" t="n">
        <v>4177</v>
      </c>
      <c r="L12" s="6" t="n">
        <v>5303</v>
      </c>
      <c r="M12" s="6" t="n">
        <v>4196</v>
      </c>
      <c r="N12" s="6" t="n">
        <v>4958</v>
      </c>
      <c r="O12" s="6" t="n">
        <v>4563</v>
      </c>
      <c r="P12" s="6" t="n">
        <v>4955</v>
      </c>
      <c r="Q12" s="6" t="n">
        <v>4842</v>
      </c>
      <c r="R12" s="6" t="n">
        <v>4386</v>
      </c>
      <c r="S12" s="6" t="n">
        <v>4587</v>
      </c>
      <c r="T12" s="6" t="n">
        <v>4396</v>
      </c>
      <c r="U12" s="6" t="n">
        <v>4664</v>
      </c>
      <c r="V12" s="6" t="n">
        <v>4063</v>
      </c>
      <c r="W12" s="6" t="n">
        <v>4984</v>
      </c>
      <c r="X12" s="6" t="n">
        <v>7079</v>
      </c>
      <c r="Y12" s="6" t="n">
        <v>4077</v>
      </c>
      <c r="Z12" s="6" t="n">
        <v>4168</v>
      </c>
      <c r="AA12" s="6" t="n">
        <v>4154</v>
      </c>
      <c r="AB12" s="6" t="n">
        <v>4315</v>
      </c>
      <c r="AC12" s="6" t="n">
        <v>3681</v>
      </c>
      <c r="AD12" s="6" t="n">
        <v>4796</v>
      </c>
      <c r="AE12" s="6" t="n">
        <v>4770</v>
      </c>
    </row>
    <row r="13">
      <c r="A13" t="n">
        <v>1.1</v>
      </c>
      <c r="B13" s="6" t="n">
        <v>2958</v>
      </c>
      <c r="C13" s="6" t="n">
        <v>2274</v>
      </c>
      <c r="D13" s="6" t="n">
        <v>2017</v>
      </c>
      <c r="E13" s="6" t="n">
        <v>3635</v>
      </c>
      <c r="F13" s="6" t="n">
        <v>4571</v>
      </c>
      <c r="G13" s="6" t="n">
        <v>4521</v>
      </c>
      <c r="H13" s="6" t="n">
        <v>4589</v>
      </c>
      <c r="I13" s="6" t="n">
        <v>7142</v>
      </c>
      <c r="J13" s="6" t="n">
        <v>4410</v>
      </c>
      <c r="K13" s="6" t="n">
        <v>4307</v>
      </c>
      <c r="L13" s="6" t="n">
        <v>5433</v>
      </c>
      <c r="M13" s="6" t="n">
        <v>4326</v>
      </c>
      <c r="N13" s="6" t="n">
        <v>5088</v>
      </c>
      <c r="O13" s="6" t="n">
        <v>4694</v>
      </c>
      <c r="P13" s="6" t="n">
        <v>5086</v>
      </c>
      <c r="Q13" s="6" t="n">
        <v>4972</v>
      </c>
      <c r="R13" s="6" t="n">
        <v>4516</v>
      </c>
      <c r="S13" s="6" t="n">
        <v>4718</v>
      </c>
      <c r="T13" s="6" t="n">
        <v>4527</v>
      </c>
      <c r="U13" s="6" t="n">
        <v>4795</v>
      </c>
      <c r="V13" s="6" t="n">
        <v>4194</v>
      </c>
      <c r="W13" s="6" t="n">
        <v>5114</v>
      </c>
      <c r="X13" s="6" t="n">
        <v>7209</v>
      </c>
      <c r="Y13" s="6" t="n">
        <v>4207</v>
      </c>
      <c r="Z13" s="6" t="n">
        <v>4298</v>
      </c>
      <c r="AA13" s="6" t="n">
        <v>4284</v>
      </c>
      <c r="AB13" s="6" t="n">
        <v>4446</v>
      </c>
      <c r="AC13" s="6" t="n">
        <v>3812</v>
      </c>
      <c r="AD13" s="6" t="n">
        <v>4927</v>
      </c>
      <c r="AE13" s="6" t="n">
        <v>4900</v>
      </c>
    </row>
    <row r="14">
      <c r="A14" t="n">
        <v>1.2</v>
      </c>
      <c r="B14" s="6" t="n">
        <v>3065</v>
      </c>
      <c r="C14" s="6" t="n">
        <v>2407</v>
      </c>
      <c r="D14" s="6" t="n">
        <v>2050</v>
      </c>
      <c r="E14" s="6" t="n">
        <v>4043</v>
      </c>
      <c r="F14" s="6" t="n">
        <v>4829</v>
      </c>
      <c r="G14" s="6" t="n">
        <v>4780</v>
      </c>
      <c r="H14" s="6" t="n">
        <v>4851</v>
      </c>
      <c r="I14" s="6" t="n">
        <v>7404</v>
      </c>
      <c r="J14" s="6" t="n">
        <v>4671</v>
      </c>
      <c r="K14" s="6" t="n">
        <v>4569</v>
      </c>
      <c r="L14" s="6" t="n">
        <v>5695</v>
      </c>
      <c r="M14" s="6" t="n">
        <v>4587</v>
      </c>
      <c r="N14" s="6" t="n">
        <v>5349</v>
      </c>
      <c r="O14" s="6" t="n">
        <v>4955</v>
      </c>
      <c r="P14" s="6" t="n">
        <v>5347</v>
      </c>
      <c r="Q14" s="6" t="n">
        <v>5233</v>
      </c>
      <c r="R14" s="6" t="n">
        <v>4778</v>
      </c>
      <c r="S14" s="6" t="n">
        <v>4979</v>
      </c>
      <c r="T14" s="6" t="n">
        <v>4788</v>
      </c>
      <c r="U14" s="6" t="n">
        <v>5054</v>
      </c>
      <c r="V14" s="6" t="n">
        <v>4455</v>
      </c>
      <c r="W14" s="6" t="n">
        <v>5376</v>
      </c>
      <c r="X14" s="6" t="n">
        <v>7470</v>
      </c>
      <c r="Y14" s="6" t="n">
        <v>4468</v>
      </c>
      <c r="Z14" s="6" t="n">
        <v>4558</v>
      </c>
      <c r="AA14" s="6" t="n">
        <v>4543</v>
      </c>
      <c r="AB14" s="6" t="n">
        <v>4707</v>
      </c>
      <c r="AC14" s="6" t="n">
        <v>4072</v>
      </c>
      <c r="AD14" s="6" t="n">
        <v>5188</v>
      </c>
      <c r="AE14" s="6" t="n">
        <v>5162</v>
      </c>
    </row>
    <row r="15">
      <c r="A15" t="n">
        <v>1.3</v>
      </c>
      <c r="B15" s="6" t="n">
        <v>3174</v>
      </c>
      <c r="C15" s="6" t="n">
        <v>2537</v>
      </c>
      <c r="D15" s="6" t="n">
        <v>2083</v>
      </c>
      <c r="E15" s="6" t="n">
        <v>4114</v>
      </c>
      <c r="F15" s="6" t="n">
        <v>4961</v>
      </c>
      <c r="G15" s="6" t="n">
        <v>4911</v>
      </c>
      <c r="H15" s="6" t="n">
        <v>4981</v>
      </c>
      <c r="I15" s="6" t="n">
        <v>7533</v>
      </c>
      <c r="J15" s="6" t="n">
        <v>4801</v>
      </c>
      <c r="K15" s="6" t="n">
        <v>4699</v>
      </c>
      <c r="L15" s="6" t="n">
        <v>5825</v>
      </c>
      <c r="M15" s="6" t="n">
        <v>4718</v>
      </c>
      <c r="N15" s="6" t="n">
        <v>5480</v>
      </c>
      <c r="O15" s="6" t="n">
        <v>5086</v>
      </c>
      <c r="P15" s="6" t="n">
        <v>5478</v>
      </c>
      <c r="Q15" s="6" t="n">
        <v>5364</v>
      </c>
      <c r="R15" s="6" t="n">
        <v>4908</v>
      </c>
      <c r="S15" s="6" t="n">
        <v>5109</v>
      </c>
      <c r="T15" s="6" t="n">
        <v>4919</v>
      </c>
      <c r="U15" s="6" t="n">
        <v>5185</v>
      </c>
      <c r="V15" s="6" t="n">
        <v>4585</v>
      </c>
      <c r="W15" s="6" t="n">
        <v>5504</v>
      </c>
      <c r="X15" s="6" t="n">
        <v>7601</v>
      </c>
      <c r="Y15" s="6" t="n">
        <v>4599</v>
      </c>
      <c r="Z15" s="6" t="n">
        <v>4688</v>
      </c>
      <c r="AA15" s="6" t="n">
        <v>4673</v>
      </c>
      <c r="AB15" s="6" t="n">
        <v>4838</v>
      </c>
      <c r="AC15" s="6" t="n">
        <v>4203</v>
      </c>
      <c r="AD15" s="6" t="n">
        <v>5318</v>
      </c>
      <c r="AE15" s="6" t="n">
        <v>5292</v>
      </c>
    </row>
    <row r="16">
      <c r="A16" t="n">
        <v>1.4</v>
      </c>
      <c r="B16" s="6" t="n">
        <v>3493</v>
      </c>
      <c r="C16" s="6" t="n">
        <v>2651</v>
      </c>
      <c r="D16" s="6" t="n">
        <v>2322</v>
      </c>
      <c r="E16" s="6" t="n">
        <v>4177</v>
      </c>
      <c r="F16" s="6" t="n">
        <v>4961</v>
      </c>
      <c r="G16" s="6" t="n">
        <v>4911</v>
      </c>
      <c r="H16" s="6" t="n">
        <v>4981</v>
      </c>
      <c r="I16" s="6" t="n">
        <v>7533</v>
      </c>
      <c r="J16" s="6" t="n">
        <v>4801</v>
      </c>
      <c r="K16" s="6" t="n">
        <v>4699</v>
      </c>
      <c r="L16" s="6" t="n">
        <v>5825</v>
      </c>
      <c r="M16" s="6" t="n">
        <v>4718</v>
      </c>
      <c r="N16" s="6" t="n">
        <v>5480</v>
      </c>
      <c r="O16" s="6" t="n">
        <v>5086</v>
      </c>
      <c r="P16" s="6" t="n">
        <v>5478</v>
      </c>
      <c r="Q16" s="6" t="n">
        <v>5364</v>
      </c>
      <c r="R16" s="6" t="n">
        <v>4908</v>
      </c>
      <c r="S16" s="6" t="n">
        <v>5109</v>
      </c>
      <c r="T16" s="6" t="n">
        <v>4919</v>
      </c>
      <c r="U16" s="6" t="n">
        <v>5185</v>
      </c>
      <c r="V16" s="6" t="n">
        <v>4585</v>
      </c>
      <c r="W16" s="6" t="n">
        <v>5504</v>
      </c>
      <c r="X16" s="6" t="n">
        <v>7601</v>
      </c>
      <c r="Y16" s="6" t="n">
        <v>4599</v>
      </c>
      <c r="Z16" s="6" t="n">
        <v>4688</v>
      </c>
      <c r="AA16" s="6" t="n">
        <v>4673</v>
      </c>
      <c r="AB16" s="6" t="n">
        <v>4838</v>
      </c>
      <c r="AC16" s="6" t="n">
        <v>4203</v>
      </c>
      <c r="AD16" s="6" t="n">
        <v>5318</v>
      </c>
      <c r="AE16" s="6" t="n">
        <v>5292</v>
      </c>
    </row>
    <row r="17">
      <c r="A17" t="n">
        <v>1.5</v>
      </c>
      <c r="B17" s="6" t="n">
        <v>3599</v>
      </c>
      <c r="C17" s="6" t="n">
        <v>2779</v>
      </c>
      <c r="D17" s="6" t="n">
        <v>2322</v>
      </c>
      <c r="E17" s="6" t="n">
        <v>4741</v>
      </c>
      <c r="F17" s="6" t="n">
        <v>4961</v>
      </c>
      <c r="G17" s="6" t="n">
        <v>4911</v>
      </c>
      <c r="H17" s="6" t="n">
        <v>4981</v>
      </c>
      <c r="I17" s="6" t="n">
        <v>7533</v>
      </c>
      <c r="J17" s="6" t="n">
        <v>4801</v>
      </c>
      <c r="K17" s="6" t="n">
        <v>4699</v>
      </c>
      <c r="L17" s="6" t="n">
        <v>5825</v>
      </c>
      <c r="M17" s="6" t="n">
        <v>4718</v>
      </c>
      <c r="N17" s="6" t="n">
        <v>5480</v>
      </c>
      <c r="O17" s="6" t="n">
        <v>5086</v>
      </c>
      <c r="P17" s="6" t="n">
        <v>5478</v>
      </c>
      <c r="Q17" s="6" t="n">
        <v>5364</v>
      </c>
      <c r="R17" s="6" t="n">
        <v>4908</v>
      </c>
      <c r="S17" s="6" t="n">
        <v>5109</v>
      </c>
      <c r="T17" s="6" t="n">
        <v>4919</v>
      </c>
      <c r="U17" s="6" t="n">
        <v>5185</v>
      </c>
      <c r="V17" s="6" t="n">
        <v>4585</v>
      </c>
      <c r="W17" s="6" t="n">
        <v>5504</v>
      </c>
      <c r="X17" s="6" t="n">
        <v>7601</v>
      </c>
      <c r="Y17" s="6" t="n">
        <v>4599</v>
      </c>
      <c r="Z17" s="6" t="n">
        <v>4688</v>
      </c>
      <c r="AA17" s="6" t="n">
        <v>4673</v>
      </c>
      <c r="AB17" s="6" t="n">
        <v>4838</v>
      </c>
      <c r="AC17" s="6" t="n">
        <v>4203</v>
      </c>
      <c r="AD17" s="6" t="n">
        <v>5318</v>
      </c>
      <c r="AE17" s="6" t="n">
        <v>5292</v>
      </c>
    </row>
    <row r="18">
      <c r="A18" t="n">
        <v>1.6</v>
      </c>
      <c r="B18" s="6" t="n">
        <v>3711</v>
      </c>
      <c r="C18" s="6" t="n">
        <v>2893</v>
      </c>
      <c r="D18" s="6" t="n">
        <v>2322</v>
      </c>
      <c r="E18" s="6" t="n">
        <v>5445</v>
      </c>
      <c r="F18" s="6" t="n">
        <v>6576</v>
      </c>
      <c r="G18" s="6" t="n">
        <v>6483</v>
      </c>
      <c r="H18" s="6" t="n">
        <v>6860</v>
      </c>
      <c r="I18" s="6" t="n">
        <v>12846</v>
      </c>
      <c r="J18" s="6" t="n">
        <v>6095</v>
      </c>
      <c r="K18" s="6" t="n">
        <v>5944</v>
      </c>
      <c r="L18" s="6" t="n">
        <v>7550</v>
      </c>
      <c r="M18" s="6" t="n">
        <v>6235</v>
      </c>
      <c r="N18" s="6" t="n">
        <v>7030</v>
      </c>
      <c r="O18" s="6" t="n">
        <v>6687</v>
      </c>
      <c r="P18" s="6" t="n">
        <v>8101</v>
      </c>
      <c r="Q18" s="6" t="n">
        <v>7302</v>
      </c>
      <c r="R18" s="6" t="n">
        <v>6325</v>
      </c>
      <c r="S18" s="6" t="n">
        <v>6746</v>
      </c>
      <c r="T18" s="6" t="n">
        <v>6463</v>
      </c>
      <c r="U18" s="6" t="n">
        <v>6649</v>
      </c>
      <c r="V18" s="6" t="n">
        <v>5888</v>
      </c>
      <c r="W18" s="6" t="n">
        <v>7342</v>
      </c>
      <c r="X18" s="6" t="n">
        <v>10521</v>
      </c>
      <c r="Y18" s="6" t="n">
        <v>5825</v>
      </c>
      <c r="Z18" s="6" t="n">
        <v>6319</v>
      </c>
      <c r="AA18" s="6" t="n">
        <v>6429</v>
      </c>
      <c r="AB18" s="6" t="n">
        <v>6644</v>
      </c>
      <c r="AC18" s="6" t="n">
        <v>5526</v>
      </c>
      <c r="AD18" s="6" t="n">
        <v>7013</v>
      </c>
      <c r="AE18" s="6" t="n">
        <v>6924</v>
      </c>
    </row>
    <row r="19">
      <c r="A19" t="n">
        <v>1.7</v>
      </c>
      <c r="B19" s="6" t="n">
        <v>3816</v>
      </c>
      <c r="C19" s="6" t="n">
        <v>3050</v>
      </c>
      <c r="D19" s="6" t="n">
        <v>2322</v>
      </c>
      <c r="E19" s="6" t="n">
        <v>5518</v>
      </c>
      <c r="F19" s="6" t="n">
        <v>6576</v>
      </c>
      <c r="G19" s="6" t="n">
        <v>6483</v>
      </c>
      <c r="H19" s="6" t="n">
        <v>6860</v>
      </c>
      <c r="I19" s="6" t="n">
        <v>12846</v>
      </c>
      <c r="J19" s="6" t="n">
        <v>6095</v>
      </c>
      <c r="K19" s="6" t="n">
        <v>5944</v>
      </c>
      <c r="L19" s="6" t="n">
        <v>7550</v>
      </c>
      <c r="M19" s="6" t="n">
        <v>6235</v>
      </c>
      <c r="N19" s="6" t="n">
        <v>7030</v>
      </c>
      <c r="O19" s="6" t="n">
        <v>6687</v>
      </c>
      <c r="P19" s="6" t="n">
        <v>8101</v>
      </c>
      <c r="Q19" s="6" t="n">
        <v>7302</v>
      </c>
      <c r="R19" s="6" t="n">
        <v>6325</v>
      </c>
      <c r="S19" s="6" t="n">
        <v>6746</v>
      </c>
      <c r="T19" s="6" t="n">
        <v>6463</v>
      </c>
      <c r="U19" s="6" t="n">
        <v>6649</v>
      </c>
      <c r="V19" s="6" t="n">
        <v>5888</v>
      </c>
      <c r="W19" s="6" t="n">
        <v>7342</v>
      </c>
      <c r="X19" s="6" t="n">
        <v>10521</v>
      </c>
      <c r="Y19" s="6" t="n">
        <v>5825</v>
      </c>
      <c r="Z19" s="6" t="n">
        <v>6319</v>
      </c>
      <c r="AA19" s="6" t="n">
        <v>6429</v>
      </c>
      <c r="AB19" s="6" t="n">
        <v>6644</v>
      </c>
      <c r="AC19" s="6" t="n">
        <v>5526</v>
      </c>
      <c r="AD19" s="6" t="n">
        <v>7013</v>
      </c>
      <c r="AE19" s="6" t="n">
        <v>6924</v>
      </c>
    </row>
    <row r="20">
      <c r="A20" t="n">
        <v>1.8</v>
      </c>
      <c r="B20" s="6" t="n">
        <v>3928</v>
      </c>
      <c r="C20" s="6" t="n">
        <v>3166</v>
      </c>
      <c r="D20" s="6" t="n">
        <v>2569</v>
      </c>
      <c r="E20" s="6" t="n">
        <v>6092</v>
      </c>
      <c r="F20" s="6" t="n">
        <v>6576</v>
      </c>
      <c r="G20" s="6" t="n">
        <v>6483</v>
      </c>
      <c r="H20" s="6" t="n">
        <v>6860</v>
      </c>
      <c r="I20" s="6" t="n">
        <v>12846</v>
      </c>
      <c r="J20" s="6" t="n">
        <v>6095</v>
      </c>
      <c r="K20" s="6" t="n">
        <v>5944</v>
      </c>
      <c r="L20" s="6" t="n">
        <v>7550</v>
      </c>
      <c r="M20" s="6" t="n">
        <v>6235</v>
      </c>
      <c r="N20" s="6" t="n">
        <v>7030</v>
      </c>
      <c r="O20" s="6" t="n">
        <v>6687</v>
      </c>
      <c r="P20" s="6" t="n">
        <v>8101</v>
      </c>
      <c r="Q20" s="6" t="n">
        <v>7302</v>
      </c>
      <c r="R20" s="6" t="n">
        <v>6325</v>
      </c>
      <c r="S20" s="6" t="n">
        <v>6746</v>
      </c>
      <c r="T20" s="6" t="n">
        <v>6463</v>
      </c>
      <c r="U20" s="6" t="n">
        <v>6649</v>
      </c>
      <c r="V20" s="6" t="n">
        <v>5888</v>
      </c>
      <c r="W20" s="6" t="n">
        <v>7342</v>
      </c>
      <c r="X20" s="6" t="n">
        <v>10521</v>
      </c>
      <c r="Y20" s="6" t="n">
        <v>5825</v>
      </c>
      <c r="Z20" s="6" t="n">
        <v>6319</v>
      </c>
      <c r="AA20" s="6" t="n">
        <v>6429</v>
      </c>
      <c r="AB20" s="6" t="n">
        <v>6644</v>
      </c>
      <c r="AC20" s="6" t="n">
        <v>5526</v>
      </c>
      <c r="AD20" s="6" t="n">
        <v>7013</v>
      </c>
      <c r="AE20" s="6" t="n">
        <v>6924</v>
      </c>
    </row>
    <row r="21">
      <c r="A21" t="n">
        <v>1.9</v>
      </c>
      <c r="B21" s="6" t="n">
        <v>4768</v>
      </c>
      <c r="C21" s="6" t="n">
        <v>3298</v>
      </c>
      <c r="D21" s="6" t="n">
        <v>2974</v>
      </c>
      <c r="E21" s="6" t="n">
        <v>6161</v>
      </c>
      <c r="F21" s="6" t="n">
        <v>7304</v>
      </c>
      <c r="G21" s="6" t="n">
        <v>7213</v>
      </c>
      <c r="H21" s="6" t="n">
        <v>7588</v>
      </c>
      <c r="I21" s="6" t="n">
        <v>13576</v>
      </c>
      <c r="J21" s="6" t="n">
        <v>6822</v>
      </c>
      <c r="K21" s="6" t="n">
        <v>6672</v>
      </c>
      <c r="L21" s="6" t="n">
        <v>8279</v>
      </c>
      <c r="M21" s="6" t="n">
        <v>6963</v>
      </c>
      <c r="N21" s="6" t="n">
        <v>7759</v>
      </c>
      <c r="O21" s="6" t="n">
        <v>7414</v>
      </c>
      <c r="P21" s="6" t="n">
        <v>8830</v>
      </c>
      <c r="Q21" s="6" t="n">
        <v>8031</v>
      </c>
      <c r="R21" s="6" t="n">
        <v>7054</v>
      </c>
      <c r="S21" s="6" t="n">
        <v>7474</v>
      </c>
      <c r="T21" s="6" t="n">
        <v>7193</v>
      </c>
      <c r="U21" s="6" t="n">
        <v>7378</v>
      </c>
      <c r="V21" s="6" t="n">
        <v>6616</v>
      </c>
      <c r="W21" s="6" t="n">
        <v>8072</v>
      </c>
      <c r="X21" s="6" t="n">
        <v>11250</v>
      </c>
      <c r="Y21" s="6" t="n">
        <v>6554</v>
      </c>
      <c r="Z21" s="6" t="n">
        <v>7048</v>
      </c>
      <c r="AA21" s="6" t="n">
        <v>7159</v>
      </c>
      <c r="AB21" s="6" t="n">
        <v>7373</v>
      </c>
      <c r="AC21" s="6" t="n">
        <v>6254</v>
      </c>
      <c r="AD21" s="6" t="n">
        <v>7742</v>
      </c>
      <c r="AE21" s="6" t="n">
        <v>7654</v>
      </c>
    </row>
    <row r="22">
      <c r="A22" t="n">
        <v>2</v>
      </c>
      <c r="B22" s="6" t="n">
        <v>4947</v>
      </c>
      <c r="C22" s="6" t="n">
        <v>3414</v>
      </c>
      <c r="D22" s="6" t="n">
        <v>2974</v>
      </c>
      <c r="E22" s="6" t="n">
        <v>7032</v>
      </c>
      <c r="F22" s="6" t="n">
        <v>7304</v>
      </c>
      <c r="G22" s="6" t="n">
        <v>7213</v>
      </c>
      <c r="H22" s="6" t="n">
        <v>7588</v>
      </c>
      <c r="I22" s="6" t="n">
        <v>13576</v>
      </c>
      <c r="J22" s="6" t="n">
        <v>6822</v>
      </c>
      <c r="K22" s="6" t="n">
        <v>6672</v>
      </c>
      <c r="L22" s="6" t="n">
        <v>8279</v>
      </c>
      <c r="M22" s="6" t="n">
        <v>6963</v>
      </c>
      <c r="N22" s="6" t="n">
        <v>7759</v>
      </c>
      <c r="O22" s="6" t="n">
        <v>7414</v>
      </c>
      <c r="P22" s="6" t="n">
        <v>8830</v>
      </c>
      <c r="Q22" s="6" t="n">
        <v>8031</v>
      </c>
      <c r="R22" s="6" t="n">
        <v>7054</v>
      </c>
      <c r="S22" s="6" t="n">
        <v>7474</v>
      </c>
      <c r="T22" s="6" t="n">
        <v>7193</v>
      </c>
      <c r="U22" s="6" t="n">
        <v>7378</v>
      </c>
      <c r="V22" s="6" t="n">
        <v>6616</v>
      </c>
      <c r="W22" s="6" t="n">
        <v>8072</v>
      </c>
      <c r="X22" s="6" t="n">
        <v>11250</v>
      </c>
      <c r="Y22" s="6" t="n">
        <v>6554</v>
      </c>
      <c r="Z22" s="6" t="n">
        <v>7048</v>
      </c>
      <c r="AA22" s="6" t="n">
        <v>7159</v>
      </c>
      <c r="AB22" s="6" t="n">
        <v>7373</v>
      </c>
      <c r="AC22" s="6" t="n">
        <v>6254</v>
      </c>
      <c r="AD22" s="6" t="n">
        <v>7742</v>
      </c>
      <c r="AE22" s="6" t="n">
        <v>7654</v>
      </c>
    </row>
    <row r="23">
      <c r="A23" t="n">
        <v>2.5</v>
      </c>
      <c r="B23" s="6" t="n">
        <v>5264</v>
      </c>
      <c r="C23" s="6" t="n">
        <v>4152</v>
      </c>
      <c r="D23" s="6" t="n">
        <v>2974</v>
      </c>
      <c r="E23" s="6" t="n">
        <v>8279</v>
      </c>
      <c r="F23" s="6" t="n">
        <v>9106</v>
      </c>
      <c r="G23" s="6" t="n">
        <v>8796</v>
      </c>
      <c r="H23" s="6" t="n">
        <v>9442</v>
      </c>
      <c r="I23" s="6" t="n">
        <v>16862</v>
      </c>
      <c r="J23" s="6" t="n">
        <v>8336</v>
      </c>
      <c r="K23" s="6" t="n">
        <v>8350</v>
      </c>
      <c r="L23" s="6" t="n">
        <v>9790</v>
      </c>
      <c r="M23" s="6" t="n">
        <v>8705</v>
      </c>
      <c r="N23" s="6" t="n">
        <v>9225</v>
      </c>
      <c r="O23" s="6" t="n">
        <v>9152</v>
      </c>
      <c r="P23" s="6" t="n">
        <v>11230</v>
      </c>
      <c r="Q23" s="6" t="n">
        <v>10087</v>
      </c>
      <c r="R23" s="6" t="n">
        <v>8567</v>
      </c>
      <c r="S23" s="6" t="n">
        <v>9294</v>
      </c>
      <c r="T23" s="6" t="n">
        <v>9149</v>
      </c>
      <c r="U23" s="6" t="n">
        <v>8890</v>
      </c>
      <c r="V23" s="6" t="n">
        <v>8177</v>
      </c>
      <c r="W23" s="6" t="n">
        <v>9583</v>
      </c>
      <c r="X23" s="6" t="n">
        <v>14054</v>
      </c>
      <c r="Y23" s="6" t="n">
        <v>8022</v>
      </c>
      <c r="Z23" s="6" t="n">
        <v>8893</v>
      </c>
      <c r="AA23" s="6" t="n">
        <v>8788</v>
      </c>
      <c r="AB23" s="6" t="n">
        <v>9225</v>
      </c>
      <c r="AC23" s="6" t="n">
        <v>7714</v>
      </c>
      <c r="AD23" s="6" t="n">
        <v>9248</v>
      </c>
      <c r="AE23" s="6" t="n">
        <v>9061</v>
      </c>
    </row>
    <row r="24">
      <c r="A24" t="n">
        <v>3</v>
      </c>
      <c r="B24" s="6" t="n">
        <v>5973</v>
      </c>
      <c r="C24" s="6" t="n">
        <v>4805</v>
      </c>
      <c r="D24" s="6" t="n">
        <v>3307</v>
      </c>
      <c r="E24" s="6" t="n">
        <v>9407</v>
      </c>
      <c r="F24" s="6" t="n">
        <v>10182</v>
      </c>
      <c r="G24" s="6" t="n">
        <v>9654</v>
      </c>
      <c r="H24" s="6" t="n">
        <v>10569</v>
      </c>
      <c r="I24" s="6" t="n">
        <v>19424</v>
      </c>
      <c r="J24" s="6" t="n">
        <v>9113</v>
      </c>
      <c r="K24" s="6" t="n">
        <v>9084</v>
      </c>
      <c r="L24" s="6" t="n">
        <v>10569</v>
      </c>
      <c r="M24" s="6" t="n">
        <v>9719</v>
      </c>
      <c r="N24" s="6" t="n">
        <v>9963</v>
      </c>
      <c r="O24" s="6" t="n">
        <v>10160</v>
      </c>
      <c r="P24" s="6" t="n">
        <v>12896</v>
      </c>
      <c r="Q24" s="6" t="n">
        <v>11317</v>
      </c>
      <c r="R24" s="6" t="n">
        <v>9344</v>
      </c>
      <c r="S24" s="6" t="n">
        <v>10377</v>
      </c>
      <c r="T24" s="6" t="n">
        <v>10163</v>
      </c>
      <c r="U24" s="6" t="n">
        <v>9668</v>
      </c>
      <c r="V24" s="6" t="n">
        <v>9003</v>
      </c>
      <c r="W24" s="6" t="n">
        <v>10361</v>
      </c>
      <c r="X24" s="6" t="n">
        <v>16129</v>
      </c>
      <c r="Y24" s="6" t="n">
        <v>8759</v>
      </c>
      <c r="Z24" s="6" t="n">
        <v>10005</v>
      </c>
      <c r="AA24" s="6" t="n">
        <v>9564</v>
      </c>
      <c r="AB24" s="6" t="n">
        <v>10353</v>
      </c>
      <c r="AC24" s="6" t="n">
        <v>8441</v>
      </c>
      <c r="AD24" s="6" t="n">
        <v>10029</v>
      </c>
      <c r="AE24" s="6" t="n">
        <v>9838</v>
      </c>
    </row>
    <row r="25">
      <c r="A25" t="n">
        <v>3.5</v>
      </c>
      <c r="B25" s="6" t="n">
        <v>6562</v>
      </c>
      <c r="C25" s="6" t="n">
        <v>5432</v>
      </c>
      <c r="D25" s="6" t="n">
        <v>3787</v>
      </c>
      <c r="E25" s="6" t="n">
        <v>11430</v>
      </c>
      <c r="F25" s="6" t="n">
        <v>11984</v>
      </c>
      <c r="G25" s="6" t="n">
        <v>11800</v>
      </c>
      <c r="H25" s="6" t="n">
        <v>13286</v>
      </c>
      <c r="I25" s="6" t="n">
        <v>22713</v>
      </c>
      <c r="J25" s="6" t="n">
        <v>10622</v>
      </c>
      <c r="K25" s="6" t="n">
        <v>10895</v>
      </c>
      <c r="L25" s="6" t="n">
        <v>12078</v>
      </c>
      <c r="M25" s="6" t="n">
        <v>12185</v>
      </c>
      <c r="N25" s="6" t="n">
        <v>11776</v>
      </c>
      <c r="O25" s="6" t="n">
        <v>11825</v>
      </c>
      <c r="P25" s="6" t="n">
        <v>15293</v>
      </c>
      <c r="Q25" s="6" t="n">
        <v>13520</v>
      </c>
      <c r="R25" s="6" t="n">
        <v>10852</v>
      </c>
      <c r="S25" s="6" t="n">
        <v>12194</v>
      </c>
      <c r="T25" s="6" t="n">
        <v>12029</v>
      </c>
      <c r="U25" s="6" t="n">
        <v>11176</v>
      </c>
      <c r="V25" s="6" t="n">
        <v>10597</v>
      </c>
      <c r="W25" s="6" t="n">
        <v>11871</v>
      </c>
      <c r="X25" s="6" t="n">
        <v>18931</v>
      </c>
      <c r="Y25" s="6" t="n">
        <v>10224</v>
      </c>
      <c r="Z25" s="6" t="n">
        <v>12146</v>
      </c>
      <c r="AA25" s="6" t="n">
        <v>11077</v>
      </c>
      <c r="AB25" s="6" t="n">
        <v>12337</v>
      </c>
      <c r="AC25" s="6" t="n">
        <v>10183</v>
      </c>
      <c r="AD25" s="6" t="n">
        <v>11538</v>
      </c>
      <c r="AE25" s="6" t="n">
        <v>11346</v>
      </c>
    </row>
    <row r="26">
      <c r="A26" t="n">
        <v>4</v>
      </c>
      <c r="B26" s="6" t="n">
        <v>7266</v>
      </c>
      <c r="C26" s="6" t="n">
        <v>6047</v>
      </c>
      <c r="D26" s="6" t="n">
        <v>4120</v>
      </c>
      <c r="E26" s="6" t="n">
        <v>12560</v>
      </c>
      <c r="F26" s="6" t="n">
        <v>12713</v>
      </c>
      <c r="G26" s="6" t="n">
        <v>12529</v>
      </c>
      <c r="H26" s="6" t="n">
        <v>14015</v>
      </c>
      <c r="I26" s="6" t="n">
        <v>23443</v>
      </c>
      <c r="J26" s="6" t="n">
        <v>11352</v>
      </c>
      <c r="K26" s="6" t="n">
        <v>11625</v>
      </c>
      <c r="L26" s="6" t="n">
        <v>12808</v>
      </c>
      <c r="M26" s="6" t="n">
        <v>12915</v>
      </c>
      <c r="N26" s="6" t="n">
        <v>12504</v>
      </c>
      <c r="O26" s="6" t="n">
        <v>12554</v>
      </c>
      <c r="P26" s="6" t="n">
        <v>16022</v>
      </c>
      <c r="Q26" s="6" t="n">
        <v>14248</v>
      </c>
      <c r="R26" s="6" t="n">
        <v>11582</v>
      </c>
      <c r="S26" s="6" t="n">
        <v>12922</v>
      </c>
      <c r="T26" s="6" t="n">
        <v>12758</v>
      </c>
      <c r="U26" s="6" t="n">
        <v>11905</v>
      </c>
      <c r="V26" s="6" t="n">
        <v>11326</v>
      </c>
      <c r="W26" s="6" t="n">
        <v>12599</v>
      </c>
      <c r="X26" s="6" t="n">
        <v>19662</v>
      </c>
      <c r="Y26" s="6" t="n">
        <v>10954</v>
      </c>
      <c r="Z26" s="6" t="n">
        <v>12876</v>
      </c>
      <c r="AA26" s="6" t="n">
        <v>11806</v>
      </c>
      <c r="AB26" s="6" t="n">
        <v>13066</v>
      </c>
      <c r="AC26" s="6" t="n">
        <v>10913</v>
      </c>
      <c r="AD26" s="6" t="n">
        <v>12267</v>
      </c>
      <c r="AE26" s="6" t="n">
        <v>12077</v>
      </c>
    </row>
    <row r="27">
      <c r="A27" t="n">
        <v>4.5</v>
      </c>
      <c r="B27" s="6" t="n">
        <v>8615</v>
      </c>
      <c r="C27" s="6" t="n">
        <v>6676</v>
      </c>
      <c r="D27" s="6" t="n">
        <v>4288</v>
      </c>
      <c r="E27" s="6" t="n">
        <v>13709</v>
      </c>
      <c r="F27" s="6" t="n">
        <v>14516</v>
      </c>
      <c r="G27" s="6" t="n">
        <v>14113</v>
      </c>
      <c r="H27" s="6" t="n">
        <v>16011</v>
      </c>
      <c r="I27" s="6" t="n">
        <v>26735</v>
      </c>
      <c r="J27" s="6" t="n">
        <v>12859</v>
      </c>
      <c r="K27" s="6" t="n">
        <v>13088</v>
      </c>
      <c r="L27" s="6" t="n">
        <v>14313</v>
      </c>
      <c r="M27" s="6" t="n">
        <v>14421</v>
      </c>
      <c r="N27" s="6" t="n">
        <v>13969</v>
      </c>
      <c r="O27" s="6" t="n">
        <v>14063</v>
      </c>
      <c r="P27" s="6" t="n">
        <v>18420</v>
      </c>
      <c r="Q27" s="6" t="n">
        <v>16201</v>
      </c>
      <c r="R27" s="6" t="n">
        <v>13088</v>
      </c>
      <c r="S27" s="6" t="n">
        <v>14740</v>
      </c>
      <c r="T27" s="6" t="n">
        <v>14500</v>
      </c>
      <c r="U27" s="6" t="n">
        <v>13413</v>
      </c>
      <c r="V27" s="6" t="n">
        <v>12884</v>
      </c>
      <c r="W27" s="6" t="n">
        <v>14105</v>
      </c>
      <c r="X27" s="6" t="n">
        <v>22463</v>
      </c>
      <c r="Y27" s="6" t="n">
        <v>12417</v>
      </c>
      <c r="Z27" s="6" t="n">
        <v>14717</v>
      </c>
      <c r="AA27" s="6" t="n">
        <v>13313</v>
      </c>
      <c r="AB27" s="6" t="n">
        <v>14918</v>
      </c>
      <c r="AC27" s="6" t="n">
        <v>12371</v>
      </c>
      <c r="AD27" s="6" t="n">
        <v>13775</v>
      </c>
      <c r="AE27" s="6" t="n">
        <v>13585</v>
      </c>
    </row>
    <row r="28">
      <c r="A28" t="n">
        <v>5</v>
      </c>
      <c r="B28" s="6" t="n">
        <v>11065</v>
      </c>
      <c r="C28" s="6" t="n">
        <v>7366</v>
      </c>
      <c r="D28" s="6" t="n">
        <v>4989</v>
      </c>
      <c r="E28" s="6" t="n">
        <v>14829</v>
      </c>
      <c r="F28" s="6" t="n">
        <v>16321</v>
      </c>
      <c r="G28" s="6" t="n">
        <v>15694</v>
      </c>
      <c r="H28" s="6" t="n">
        <v>18032</v>
      </c>
      <c r="I28" s="6" t="n">
        <v>30020</v>
      </c>
      <c r="J28" s="6" t="n">
        <v>14360</v>
      </c>
      <c r="K28" s="6" t="n">
        <v>14554</v>
      </c>
      <c r="L28" s="6" t="n">
        <v>15822</v>
      </c>
      <c r="M28" s="6" t="n">
        <v>15931</v>
      </c>
      <c r="N28" s="6" t="n">
        <v>15774</v>
      </c>
      <c r="O28" s="6" t="n">
        <v>15570</v>
      </c>
      <c r="P28" s="6" t="n">
        <v>20817</v>
      </c>
      <c r="Q28" s="6" t="n">
        <v>17693</v>
      </c>
      <c r="R28" s="6" t="n">
        <v>14596</v>
      </c>
      <c r="S28" s="6" t="n">
        <v>16553</v>
      </c>
      <c r="T28" s="6" t="n">
        <v>16240</v>
      </c>
      <c r="U28" s="6" t="n">
        <v>14921</v>
      </c>
      <c r="V28" s="6" t="n">
        <v>14440</v>
      </c>
      <c r="W28" s="6" t="n">
        <v>15615</v>
      </c>
      <c r="X28" s="6" t="n">
        <v>25267</v>
      </c>
      <c r="Y28" s="6" t="n">
        <v>13885</v>
      </c>
      <c r="Z28" s="6" t="n">
        <v>16562</v>
      </c>
      <c r="AA28" s="6" t="n">
        <v>14821</v>
      </c>
      <c r="AB28" s="6" t="n">
        <v>16966</v>
      </c>
      <c r="AC28" s="6" t="n">
        <v>13829</v>
      </c>
      <c r="AD28" s="6" t="n">
        <v>15282</v>
      </c>
      <c r="AE28" s="6" t="n">
        <v>15096</v>
      </c>
    </row>
    <row r="29">
      <c r="A29" t="n">
        <v>5.5</v>
      </c>
      <c r="B29" s="6" t="n">
        <v>11789</v>
      </c>
      <c r="C29" s="6" t="n">
        <v>8001</v>
      </c>
      <c r="D29" s="6" t="n">
        <v>5155</v>
      </c>
      <c r="E29" s="6" t="n">
        <v>16905</v>
      </c>
      <c r="F29" s="6" t="n">
        <v>17396</v>
      </c>
      <c r="G29" s="6" t="n">
        <v>16554</v>
      </c>
      <c r="H29" s="6" t="n">
        <v>18990</v>
      </c>
      <c r="I29" s="6" t="n">
        <v>32586</v>
      </c>
      <c r="J29" s="6" t="n">
        <v>15141</v>
      </c>
      <c r="K29" s="6" t="n">
        <v>15290</v>
      </c>
      <c r="L29" s="6" t="n">
        <v>16601</v>
      </c>
      <c r="M29" s="6" t="n">
        <v>16708</v>
      </c>
      <c r="N29" s="6" t="n">
        <v>16554</v>
      </c>
      <c r="O29" s="6" t="n">
        <v>16353</v>
      </c>
      <c r="P29" s="6" t="n">
        <v>22486</v>
      </c>
      <c r="Q29" s="6" t="n">
        <v>18493</v>
      </c>
      <c r="R29" s="6" t="n">
        <v>15375</v>
      </c>
      <c r="S29" s="6" t="n">
        <v>17640</v>
      </c>
      <c r="T29" s="6" t="n">
        <v>17120</v>
      </c>
      <c r="U29" s="6" t="n">
        <v>15698</v>
      </c>
      <c r="V29" s="6" t="n">
        <v>15271</v>
      </c>
      <c r="W29" s="6" t="n">
        <v>16393</v>
      </c>
      <c r="X29" s="6" t="n">
        <v>27340</v>
      </c>
      <c r="Y29" s="6" t="n">
        <v>14621</v>
      </c>
      <c r="Z29" s="6" t="n">
        <v>17677</v>
      </c>
      <c r="AA29" s="6" t="n">
        <v>15599</v>
      </c>
      <c r="AB29" s="6" t="n">
        <v>18165</v>
      </c>
      <c r="AC29" s="6" t="n">
        <v>14559</v>
      </c>
      <c r="AD29" s="6" t="n">
        <v>16059</v>
      </c>
      <c r="AE29" s="6" t="n">
        <v>15872</v>
      </c>
    </row>
    <row r="30">
      <c r="A30" t="n">
        <v>6</v>
      </c>
      <c r="B30" s="6" t="n">
        <v>12576</v>
      </c>
      <c r="C30" s="6" t="n">
        <v>8622</v>
      </c>
      <c r="D30" s="6" t="n">
        <v>5489</v>
      </c>
      <c r="E30" s="6" t="n">
        <v>18028</v>
      </c>
      <c r="F30" s="6" t="n">
        <v>19201</v>
      </c>
      <c r="G30" s="6" t="n">
        <v>18138</v>
      </c>
      <c r="H30" s="6" t="n">
        <v>20501</v>
      </c>
      <c r="I30" s="6" t="n">
        <v>35874</v>
      </c>
      <c r="J30" s="6" t="n">
        <v>16651</v>
      </c>
      <c r="K30" s="6" t="n">
        <v>16755</v>
      </c>
      <c r="L30" s="6" t="n">
        <v>18112</v>
      </c>
      <c r="M30" s="6" t="n">
        <v>18214</v>
      </c>
      <c r="N30" s="6" t="n">
        <v>18064</v>
      </c>
      <c r="O30" s="6" t="n">
        <v>17858</v>
      </c>
      <c r="P30" s="6" t="n">
        <v>24883</v>
      </c>
      <c r="Q30" s="6" t="n">
        <v>20006</v>
      </c>
      <c r="R30" s="6" t="n">
        <v>16886</v>
      </c>
      <c r="S30" s="6" t="n">
        <v>19459</v>
      </c>
      <c r="T30" s="6" t="n">
        <v>18626</v>
      </c>
      <c r="U30" s="6" t="n">
        <v>17211</v>
      </c>
      <c r="V30" s="6" t="n">
        <v>16828</v>
      </c>
      <c r="W30" s="6" t="n">
        <v>17904</v>
      </c>
      <c r="X30" s="6" t="n">
        <v>30143</v>
      </c>
      <c r="Y30" s="6" t="n">
        <v>16088</v>
      </c>
      <c r="Z30" s="6" t="n">
        <v>19517</v>
      </c>
      <c r="AA30" s="6" t="n">
        <v>17109</v>
      </c>
      <c r="AB30" s="6" t="n">
        <v>20103</v>
      </c>
      <c r="AC30" s="6" t="n">
        <v>16017</v>
      </c>
      <c r="AD30" s="6" t="n">
        <v>17567</v>
      </c>
      <c r="AE30" s="6" t="n">
        <v>17380</v>
      </c>
    </row>
    <row r="31">
      <c r="A31" t="n">
        <v>6.5</v>
      </c>
      <c r="B31" s="6" t="n">
        <v>13354</v>
      </c>
      <c r="C31" s="6" t="n">
        <v>9257</v>
      </c>
      <c r="D31" s="6" t="n">
        <v>5656</v>
      </c>
      <c r="E31" s="6" t="n">
        <v>19169</v>
      </c>
      <c r="F31" s="6" t="n">
        <v>19930</v>
      </c>
      <c r="G31" s="6" t="n">
        <v>18866</v>
      </c>
      <c r="H31" s="6" t="n">
        <v>21229</v>
      </c>
      <c r="I31" s="6" t="n">
        <v>36604</v>
      </c>
      <c r="J31" s="6" t="n">
        <v>17379</v>
      </c>
      <c r="K31" s="6" t="n">
        <v>17485</v>
      </c>
      <c r="L31" s="6" t="n">
        <v>18841</v>
      </c>
      <c r="M31" s="6" t="n">
        <v>18944</v>
      </c>
      <c r="N31" s="6" t="n">
        <v>18792</v>
      </c>
      <c r="O31" s="6" t="n">
        <v>18588</v>
      </c>
      <c r="P31" s="6" t="n">
        <v>25613</v>
      </c>
      <c r="Q31" s="6" t="n">
        <v>20733</v>
      </c>
      <c r="R31" s="6" t="n">
        <v>17615</v>
      </c>
      <c r="S31" s="6" t="n">
        <v>20189</v>
      </c>
      <c r="T31" s="6" t="n">
        <v>19356</v>
      </c>
      <c r="U31" s="6" t="n">
        <v>17939</v>
      </c>
      <c r="V31" s="6" t="n">
        <v>17555</v>
      </c>
      <c r="W31" s="6" t="n">
        <v>18634</v>
      </c>
      <c r="X31" s="6" t="n">
        <v>30872</v>
      </c>
      <c r="Y31" s="6" t="n">
        <v>16816</v>
      </c>
      <c r="Z31" s="6" t="n">
        <v>20246</v>
      </c>
      <c r="AA31" s="6" t="n">
        <v>17838</v>
      </c>
      <c r="AB31" s="6" t="n">
        <v>20831</v>
      </c>
      <c r="AC31" s="6" t="n">
        <v>16746</v>
      </c>
      <c r="AD31" s="6" t="n">
        <v>18295</v>
      </c>
      <c r="AE31" s="6" t="n">
        <v>18111</v>
      </c>
    </row>
    <row r="32">
      <c r="A32" t="n">
        <v>7</v>
      </c>
      <c r="B32" s="6" t="n">
        <v>14344</v>
      </c>
      <c r="C32" s="6" t="n">
        <v>9879</v>
      </c>
      <c r="D32" s="6" t="n">
        <v>6580</v>
      </c>
      <c r="E32" s="6" t="n">
        <v>21220</v>
      </c>
      <c r="F32" s="6" t="n">
        <v>23094</v>
      </c>
      <c r="G32" s="6" t="n">
        <v>21528</v>
      </c>
      <c r="H32" s="6" t="n">
        <v>22960</v>
      </c>
      <c r="I32" s="6" t="n">
        <v>47195</v>
      </c>
      <c r="J32" s="6" t="n">
        <v>19087</v>
      </c>
      <c r="K32" s="6" t="n">
        <v>19199</v>
      </c>
      <c r="L32" s="6" t="n">
        <v>20544</v>
      </c>
      <c r="M32" s="6" t="n">
        <v>20651</v>
      </c>
      <c r="N32" s="6" t="n">
        <v>22170</v>
      </c>
      <c r="O32" s="6" t="n">
        <v>20300</v>
      </c>
      <c r="P32" s="6" t="n">
        <v>31768</v>
      </c>
      <c r="Q32" s="6" t="n">
        <v>22438</v>
      </c>
      <c r="R32" s="6" t="n">
        <v>19318</v>
      </c>
      <c r="S32" s="6" t="n">
        <v>22664</v>
      </c>
      <c r="T32" s="6" t="n">
        <v>21052</v>
      </c>
      <c r="U32" s="6" t="n">
        <v>19642</v>
      </c>
      <c r="V32" s="6" t="n">
        <v>19526</v>
      </c>
      <c r="W32" s="6" t="n">
        <v>20337</v>
      </c>
      <c r="X32" s="6" t="n">
        <v>39063</v>
      </c>
      <c r="Y32" s="6" t="n">
        <v>19009</v>
      </c>
      <c r="Z32" s="6" t="n">
        <v>23629</v>
      </c>
      <c r="AA32" s="6" t="n">
        <v>19544</v>
      </c>
      <c r="AB32" s="6" t="n">
        <v>24657</v>
      </c>
      <c r="AC32" s="6" t="n">
        <v>18348</v>
      </c>
      <c r="AD32" s="6" t="n">
        <v>20006</v>
      </c>
      <c r="AE32" s="6" t="n">
        <v>19818</v>
      </c>
    </row>
    <row r="33">
      <c r="A33" t="n">
        <v>7.5</v>
      </c>
      <c r="B33" s="6" t="n">
        <v>15144</v>
      </c>
      <c r="C33" s="6" t="n">
        <v>10515</v>
      </c>
      <c r="D33" s="6" t="n">
        <v>6748</v>
      </c>
      <c r="E33" s="6" t="n">
        <v>22364</v>
      </c>
      <c r="F33" s="6" t="n">
        <v>24552</v>
      </c>
      <c r="G33" s="6" t="n">
        <v>22986</v>
      </c>
      <c r="H33" s="6" t="n">
        <v>24418</v>
      </c>
      <c r="I33" s="6" t="n">
        <v>48654</v>
      </c>
      <c r="J33" s="6" t="n">
        <v>20546</v>
      </c>
      <c r="K33" s="6" t="n">
        <v>20658</v>
      </c>
      <c r="L33" s="6" t="n">
        <v>22001</v>
      </c>
      <c r="M33" s="6" t="n">
        <v>22111</v>
      </c>
      <c r="N33" s="6" t="n">
        <v>23629</v>
      </c>
      <c r="O33" s="6" t="n">
        <v>21757</v>
      </c>
      <c r="P33" s="6" t="n">
        <v>33227</v>
      </c>
      <c r="Q33" s="6" t="n">
        <v>23896</v>
      </c>
      <c r="R33" s="6" t="n">
        <v>20777</v>
      </c>
      <c r="S33" s="6" t="n">
        <v>24123</v>
      </c>
      <c r="T33" s="6" t="n">
        <v>22512</v>
      </c>
      <c r="U33" s="6" t="n">
        <v>21102</v>
      </c>
      <c r="V33" s="6" t="n">
        <v>20984</v>
      </c>
      <c r="W33" s="6" t="n">
        <v>21794</v>
      </c>
      <c r="X33" s="6" t="n">
        <v>40521</v>
      </c>
      <c r="Y33" s="6" t="n">
        <v>20467</v>
      </c>
      <c r="Z33" s="6" t="n">
        <v>25086</v>
      </c>
      <c r="AA33" s="6" t="n">
        <v>21001</v>
      </c>
      <c r="AB33" s="6" t="n">
        <v>26115</v>
      </c>
      <c r="AC33" s="6" t="n">
        <v>19806</v>
      </c>
      <c r="AD33" s="6" t="n">
        <v>21463</v>
      </c>
      <c r="AE33" s="6" t="n">
        <v>21277</v>
      </c>
    </row>
    <row r="34">
      <c r="A34" t="n">
        <v>8</v>
      </c>
      <c r="B34" s="6" t="n">
        <v>15932</v>
      </c>
      <c r="C34" s="6" t="n">
        <v>11137</v>
      </c>
      <c r="D34" s="6" t="n">
        <v>7082</v>
      </c>
      <c r="E34" s="6" t="n">
        <v>23481</v>
      </c>
      <c r="F34" s="6" t="n">
        <v>25281</v>
      </c>
      <c r="G34" s="6" t="n">
        <v>23714</v>
      </c>
      <c r="H34" s="6" t="n">
        <v>25146</v>
      </c>
      <c r="I34" s="6" t="n">
        <v>49383</v>
      </c>
      <c r="J34" s="6" t="n">
        <v>21275</v>
      </c>
      <c r="K34" s="6" t="n">
        <v>21385</v>
      </c>
      <c r="L34" s="6" t="n">
        <v>22731</v>
      </c>
      <c r="M34" s="6" t="n">
        <v>22838</v>
      </c>
      <c r="N34" s="6" t="n">
        <v>24357</v>
      </c>
      <c r="O34" s="6" t="n">
        <v>22487</v>
      </c>
      <c r="P34" s="6" t="n">
        <v>33954</v>
      </c>
      <c r="Q34" s="6" t="n">
        <v>24623</v>
      </c>
      <c r="R34" s="6" t="n">
        <v>21505</v>
      </c>
      <c r="S34" s="6" t="n">
        <v>24850</v>
      </c>
      <c r="T34" s="6" t="n">
        <v>23239</v>
      </c>
      <c r="U34" s="6" t="n">
        <v>21829</v>
      </c>
      <c r="V34" s="6" t="n">
        <v>21713</v>
      </c>
      <c r="W34" s="6" t="n">
        <v>22523</v>
      </c>
      <c r="X34" s="6" t="n">
        <v>41249</v>
      </c>
      <c r="Y34" s="6" t="n">
        <v>21195</v>
      </c>
      <c r="Z34" s="6" t="n">
        <v>25815</v>
      </c>
      <c r="AA34" s="6" t="n">
        <v>21729</v>
      </c>
      <c r="AB34" s="6" t="n">
        <v>26845</v>
      </c>
      <c r="AC34" s="6" t="n">
        <v>20537</v>
      </c>
      <c r="AD34" s="6" t="n">
        <v>22193</v>
      </c>
      <c r="AE34" s="6" t="n">
        <v>22006</v>
      </c>
    </row>
    <row r="35">
      <c r="A35" t="n">
        <v>8.5</v>
      </c>
      <c r="B35" s="6" t="n">
        <v>16563</v>
      </c>
      <c r="C35" s="6" t="n">
        <v>11773</v>
      </c>
      <c r="D35" s="6" t="n">
        <v>7250</v>
      </c>
      <c r="E35" s="6" t="n">
        <v>25570</v>
      </c>
      <c r="F35" s="6" t="n">
        <v>26738</v>
      </c>
      <c r="G35" s="6" t="n">
        <v>25171</v>
      </c>
      <c r="H35" s="6" t="n">
        <v>26605</v>
      </c>
      <c r="I35" s="6" t="n">
        <v>50840</v>
      </c>
      <c r="J35" s="6" t="n">
        <v>22732</v>
      </c>
      <c r="K35" s="6" t="n">
        <v>22845</v>
      </c>
      <c r="L35" s="6" t="n">
        <v>24188</v>
      </c>
      <c r="M35" s="6" t="n">
        <v>24296</v>
      </c>
      <c r="N35" s="6" t="n">
        <v>25815</v>
      </c>
      <c r="O35" s="6" t="n">
        <v>23945</v>
      </c>
      <c r="P35" s="6" t="n">
        <v>35413</v>
      </c>
      <c r="Q35" s="6" t="n">
        <v>26083</v>
      </c>
      <c r="R35" s="6" t="n">
        <v>22963</v>
      </c>
      <c r="S35" s="6" t="n">
        <v>26310</v>
      </c>
      <c r="T35" s="6" t="n">
        <v>24697</v>
      </c>
      <c r="U35" s="6" t="n">
        <v>23288</v>
      </c>
      <c r="V35" s="6" t="n">
        <v>23170</v>
      </c>
      <c r="W35" s="6" t="n">
        <v>23982</v>
      </c>
      <c r="X35" s="6" t="n">
        <v>42707</v>
      </c>
      <c r="Y35" s="6" t="n">
        <v>22654</v>
      </c>
      <c r="Z35" s="6" t="n">
        <v>27274</v>
      </c>
      <c r="AA35" s="6" t="n">
        <v>23188</v>
      </c>
      <c r="AB35" s="6" t="n">
        <v>28303</v>
      </c>
      <c r="AC35" s="6" t="n">
        <v>21994</v>
      </c>
      <c r="AD35" s="6" t="n">
        <v>23652</v>
      </c>
      <c r="AE35" s="6" t="n">
        <v>23463</v>
      </c>
    </row>
    <row r="36">
      <c r="A36" t="n">
        <v>9</v>
      </c>
      <c r="B36" s="6" t="n">
        <v>17119</v>
      </c>
      <c r="C36" s="6" t="n">
        <v>12393</v>
      </c>
      <c r="D36" s="6" t="n">
        <v>7584</v>
      </c>
      <c r="E36" s="6" t="n">
        <v>26686</v>
      </c>
      <c r="F36" s="6" t="n">
        <v>27469</v>
      </c>
      <c r="G36" s="6" t="n">
        <v>25902</v>
      </c>
      <c r="H36" s="6" t="n">
        <v>27335</v>
      </c>
      <c r="I36" s="6" t="n">
        <v>51571</v>
      </c>
      <c r="J36" s="6" t="n">
        <v>23463</v>
      </c>
      <c r="K36" s="6" t="n">
        <v>23573</v>
      </c>
      <c r="L36" s="6" t="n">
        <v>24918</v>
      </c>
      <c r="M36" s="6" t="n">
        <v>25027</v>
      </c>
      <c r="N36" s="6" t="n">
        <v>26544</v>
      </c>
      <c r="O36" s="6" t="n">
        <v>24673</v>
      </c>
      <c r="P36" s="6" t="n">
        <v>36141</v>
      </c>
      <c r="Q36" s="6" t="n">
        <v>26812</v>
      </c>
      <c r="R36" s="6" t="n">
        <v>23692</v>
      </c>
      <c r="S36" s="6" t="n">
        <v>27038</v>
      </c>
      <c r="T36" s="6" t="n">
        <v>25428</v>
      </c>
      <c r="U36" s="6" t="n">
        <v>24017</v>
      </c>
      <c r="V36" s="6" t="n">
        <v>23900</v>
      </c>
      <c r="W36" s="6" t="n">
        <v>24711</v>
      </c>
      <c r="X36" s="6" t="n">
        <v>43438</v>
      </c>
      <c r="Y36" s="6" t="n">
        <v>23383</v>
      </c>
      <c r="Z36" s="6" t="n">
        <v>28004</v>
      </c>
      <c r="AA36" s="6" t="n">
        <v>23917</v>
      </c>
      <c r="AB36" s="6" t="n">
        <v>29032</v>
      </c>
      <c r="AC36" s="6" t="n">
        <v>22723</v>
      </c>
      <c r="AD36" s="6" t="n">
        <v>24380</v>
      </c>
      <c r="AE36" s="6" t="n">
        <v>24194</v>
      </c>
    </row>
    <row r="37">
      <c r="A37" t="n">
        <v>9.5</v>
      </c>
      <c r="B37" s="6" t="n">
        <v>18019</v>
      </c>
      <c r="C37" s="6" t="n">
        <v>13029</v>
      </c>
      <c r="D37" s="6" t="n">
        <v>7751</v>
      </c>
      <c r="E37" s="6" t="n">
        <v>27820</v>
      </c>
      <c r="F37" s="6" t="n">
        <v>28927</v>
      </c>
      <c r="G37" s="6" t="n">
        <v>27360</v>
      </c>
      <c r="H37" s="6" t="n">
        <v>28792</v>
      </c>
      <c r="I37" s="6" t="n">
        <v>53028</v>
      </c>
      <c r="J37" s="6" t="n">
        <v>24920</v>
      </c>
      <c r="K37" s="6" t="n">
        <v>25030</v>
      </c>
      <c r="L37" s="6" t="n">
        <v>26377</v>
      </c>
      <c r="M37" s="6" t="n">
        <v>26484</v>
      </c>
      <c r="N37" s="6" t="n">
        <v>28001</v>
      </c>
      <c r="O37" s="6" t="n">
        <v>26132</v>
      </c>
      <c r="P37" s="6" t="n">
        <v>37599</v>
      </c>
      <c r="Q37" s="6" t="n">
        <v>28269</v>
      </c>
      <c r="R37" s="6" t="n">
        <v>25151</v>
      </c>
      <c r="S37" s="6" t="n">
        <v>28496</v>
      </c>
      <c r="T37" s="6" t="n">
        <v>26885</v>
      </c>
      <c r="U37" s="6" t="n">
        <v>25474</v>
      </c>
      <c r="V37" s="6" t="n">
        <v>25358</v>
      </c>
      <c r="W37" s="6" t="n">
        <v>26169</v>
      </c>
      <c r="X37" s="6" t="n">
        <v>44895</v>
      </c>
      <c r="Y37" s="6" t="n">
        <v>24840</v>
      </c>
      <c r="Z37" s="6" t="n">
        <v>29461</v>
      </c>
      <c r="AA37" s="6" t="n">
        <v>25375</v>
      </c>
      <c r="AB37" s="6" t="n">
        <v>30490</v>
      </c>
      <c r="AC37" s="6" t="n">
        <v>24180</v>
      </c>
      <c r="AD37" s="6" t="n">
        <v>25838</v>
      </c>
      <c r="AE37" s="6" t="n">
        <v>25651</v>
      </c>
    </row>
    <row r="38">
      <c r="A38" t="n">
        <v>10</v>
      </c>
      <c r="B38" s="6" t="n">
        <v>18522</v>
      </c>
      <c r="C38" s="6" t="n">
        <v>13651</v>
      </c>
      <c r="D38" s="6" t="n">
        <v>8085</v>
      </c>
      <c r="E38" s="6" t="n">
        <v>28956</v>
      </c>
      <c r="F38" s="6" t="n">
        <v>32115</v>
      </c>
      <c r="G38" s="6" t="n">
        <v>29452</v>
      </c>
      <c r="H38" s="6" t="n">
        <v>30504</v>
      </c>
      <c r="I38" s="6" t="n">
        <v>63646</v>
      </c>
      <c r="J38" s="6" t="n">
        <v>26629</v>
      </c>
      <c r="K38" s="6" t="n">
        <v>27549</v>
      </c>
      <c r="L38" s="6" t="n">
        <v>28085</v>
      </c>
      <c r="M38" s="6" t="n">
        <v>28192</v>
      </c>
      <c r="N38" s="6" t="n">
        <v>29708</v>
      </c>
      <c r="O38" s="6" t="n">
        <v>27834</v>
      </c>
      <c r="P38" s="6" t="n">
        <v>43757</v>
      </c>
      <c r="Q38" s="6" t="n">
        <v>29980</v>
      </c>
      <c r="R38" s="6" t="n">
        <v>26862</v>
      </c>
      <c r="S38" s="6" t="n">
        <v>30203</v>
      </c>
      <c r="T38" s="6" t="n">
        <v>28579</v>
      </c>
      <c r="U38" s="6" t="n">
        <v>27187</v>
      </c>
      <c r="V38" s="6" t="n">
        <v>27634</v>
      </c>
      <c r="W38" s="6" t="n">
        <v>27877</v>
      </c>
      <c r="X38" s="6" t="n">
        <v>53079</v>
      </c>
      <c r="Y38" s="6" t="n">
        <v>26394</v>
      </c>
      <c r="Z38" s="6" t="n">
        <v>32844</v>
      </c>
      <c r="AA38" s="6" t="n">
        <v>27086</v>
      </c>
      <c r="AB38" s="6" t="n">
        <v>34318</v>
      </c>
      <c r="AC38" s="6" t="n">
        <v>25892</v>
      </c>
      <c r="AD38" s="6" t="n">
        <v>27546</v>
      </c>
      <c r="AE38" s="6" t="n">
        <v>27356</v>
      </c>
    </row>
    <row r="39">
      <c r="A39" t="n">
        <v>10.5</v>
      </c>
      <c r="B39" s="6" t="n">
        <v>19122</v>
      </c>
      <c r="C39" s="6" t="n">
        <v>14286</v>
      </c>
      <c r="D39" s="6" t="n">
        <v>8251</v>
      </c>
      <c r="E39" s="6" t="n">
        <v>31070</v>
      </c>
      <c r="F39" s="6" t="n">
        <v>32846</v>
      </c>
      <c r="G39" s="6" t="n">
        <v>30181</v>
      </c>
      <c r="H39" s="6" t="n">
        <v>31231</v>
      </c>
      <c r="I39" s="6" t="n">
        <v>64376</v>
      </c>
      <c r="J39" s="6" t="n">
        <v>27357</v>
      </c>
      <c r="K39" s="6" t="n">
        <v>28279</v>
      </c>
      <c r="L39" s="6" t="n">
        <v>28813</v>
      </c>
      <c r="M39" s="6" t="n">
        <v>28921</v>
      </c>
      <c r="N39" s="6" t="n">
        <v>30437</v>
      </c>
      <c r="O39" s="6" t="n">
        <v>28563</v>
      </c>
      <c r="P39" s="6" t="n">
        <v>44486</v>
      </c>
      <c r="Q39" s="6" t="n">
        <v>30709</v>
      </c>
      <c r="R39" s="6" t="n">
        <v>27591</v>
      </c>
      <c r="S39" s="6" t="n">
        <v>30931</v>
      </c>
      <c r="T39" s="6" t="n">
        <v>29307</v>
      </c>
      <c r="U39" s="6" t="n">
        <v>27915</v>
      </c>
      <c r="V39" s="6" t="n">
        <v>28364</v>
      </c>
      <c r="W39" s="6" t="n">
        <v>28605</v>
      </c>
      <c r="X39" s="6" t="n">
        <v>53809</v>
      </c>
      <c r="Y39" s="6" t="n">
        <v>27121</v>
      </c>
      <c r="Z39" s="6" t="n">
        <v>33572</v>
      </c>
      <c r="AA39" s="6" t="n">
        <v>27816</v>
      </c>
      <c r="AB39" s="6" t="n">
        <v>35048</v>
      </c>
      <c r="AC39" s="6" t="n">
        <v>26622</v>
      </c>
      <c r="AD39" s="6" t="n">
        <v>28277</v>
      </c>
      <c r="AE39" s="6" t="n">
        <v>28086</v>
      </c>
    </row>
    <row r="40">
      <c r="A40" t="n">
        <v>11</v>
      </c>
      <c r="B40" s="6" t="n">
        <v>19677</v>
      </c>
      <c r="C40" s="6" t="n">
        <v>14908</v>
      </c>
      <c r="D40" s="6" t="n">
        <v>8586</v>
      </c>
      <c r="E40" s="6" t="n">
        <v>32186</v>
      </c>
      <c r="F40" s="6" t="n">
        <v>34303</v>
      </c>
      <c r="G40" s="6" t="n">
        <v>31638</v>
      </c>
      <c r="H40" s="6" t="n">
        <v>32691</v>
      </c>
      <c r="I40" s="6" t="n">
        <v>65833</v>
      </c>
      <c r="J40" s="6" t="n">
        <v>28816</v>
      </c>
      <c r="K40" s="6" t="n">
        <v>29738</v>
      </c>
      <c r="L40" s="6" t="n">
        <v>30271</v>
      </c>
      <c r="M40" s="6" t="n">
        <v>30380</v>
      </c>
      <c r="N40" s="6" t="n">
        <v>31895</v>
      </c>
      <c r="O40" s="6" t="n">
        <v>30021</v>
      </c>
      <c r="P40" s="6" t="n">
        <v>45946</v>
      </c>
      <c r="Q40" s="6" t="n">
        <v>32168</v>
      </c>
      <c r="R40" s="6" t="n">
        <v>29049</v>
      </c>
      <c r="S40" s="6" t="n">
        <v>32388</v>
      </c>
      <c r="T40" s="6" t="n">
        <v>30767</v>
      </c>
      <c r="U40" s="6" t="n">
        <v>29373</v>
      </c>
      <c r="V40" s="6" t="n">
        <v>29821</v>
      </c>
      <c r="W40" s="6" t="n">
        <v>30064</v>
      </c>
      <c r="X40" s="6" t="n">
        <v>55267</v>
      </c>
      <c r="Y40" s="6" t="n">
        <v>28579</v>
      </c>
      <c r="Z40" s="6" t="n">
        <v>35031</v>
      </c>
      <c r="AA40" s="6" t="n">
        <v>29273</v>
      </c>
      <c r="AB40" s="6" t="n">
        <v>36505</v>
      </c>
      <c r="AC40" s="6" t="n">
        <v>28079</v>
      </c>
      <c r="AD40" s="6" t="n">
        <v>29734</v>
      </c>
      <c r="AE40" s="6" t="n">
        <v>29545</v>
      </c>
    </row>
    <row r="41">
      <c r="A41" t="n">
        <v>11.5</v>
      </c>
      <c r="B41" s="6" t="n">
        <v>20338</v>
      </c>
      <c r="C41" s="6" t="n">
        <v>15544</v>
      </c>
      <c r="D41" s="6" t="n">
        <v>8753</v>
      </c>
      <c r="E41" s="6" t="n">
        <v>33321</v>
      </c>
      <c r="F41" s="6" t="n">
        <v>35032</v>
      </c>
      <c r="G41" s="6" t="n">
        <v>32367</v>
      </c>
      <c r="H41" s="6" t="n">
        <v>33420</v>
      </c>
      <c r="I41" s="6" t="n">
        <v>66563</v>
      </c>
      <c r="J41" s="6" t="n">
        <v>29546</v>
      </c>
      <c r="K41" s="6" t="n">
        <v>30465</v>
      </c>
      <c r="L41" s="6" t="n">
        <v>31000</v>
      </c>
      <c r="M41" s="6" t="n">
        <v>31109</v>
      </c>
      <c r="N41" s="6" t="n">
        <v>32623</v>
      </c>
      <c r="O41" s="6" t="n">
        <v>30750</v>
      </c>
      <c r="P41" s="6" t="n">
        <v>46673</v>
      </c>
      <c r="Q41" s="6" t="n">
        <v>32897</v>
      </c>
      <c r="R41" s="6" t="n">
        <v>29777</v>
      </c>
      <c r="S41" s="6" t="n">
        <v>33118</v>
      </c>
      <c r="T41" s="6" t="n">
        <v>31496</v>
      </c>
      <c r="U41" s="6" t="n">
        <v>30102</v>
      </c>
      <c r="V41" s="6" t="n">
        <v>30551</v>
      </c>
      <c r="W41" s="6" t="n">
        <v>30793</v>
      </c>
      <c r="X41" s="6" t="n">
        <v>55996</v>
      </c>
      <c r="Y41" s="6" t="n">
        <v>29310</v>
      </c>
      <c r="Z41" s="6" t="n">
        <v>35760</v>
      </c>
      <c r="AA41" s="6" t="n">
        <v>30003</v>
      </c>
      <c r="AB41" s="6" t="n">
        <v>37235</v>
      </c>
      <c r="AC41" s="6" t="n">
        <v>28808</v>
      </c>
      <c r="AD41" s="6" t="n">
        <v>30463</v>
      </c>
      <c r="AE41" s="6" t="n">
        <v>30271</v>
      </c>
    </row>
    <row r="42">
      <c r="A42" t="n">
        <v>12</v>
      </c>
      <c r="B42" s="6" t="n">
        <v>20936</v>
      </c>
      <c r="C42" s="6" t="n">
        <v>16165</v>
      </c>
      <c r="D42" s="6" t="n">
        <v>9088</v>
      </c>
      <c r="E42" s="6" t="n">
        <v>35399</v>
      </c>
      <c r="F42" s="6" t="n">
        <v>36491</v>
      </c>
      <c r="G42" s="6" t="n">
        <v>33827</v>
      </c>
      <c r="H42" s="6" t="n">
        <v>34877</v>
      </c>
      <c r="I42" s="6" t="n">
        <v>68021</v>
      </c>
      <c r="J42" s="6" t="n">
        <v>31003</v>
      </c>
      <c r="K42" s="6" t="n">
        <v>31925</v>
      </c>
      <c r="L42" s="6" t="n">
        <v>32457</v>
      </c>
      <c r="M42" s="6" t="n">
        <v>32567</v>
      </c>
      <c r="N42" s="6" t="n">
        <v>34082</v>
      </c>
      <c r="O42" s="6" t="n">
        <v>32210</v>
      </c>
      <c r="P42" s="6" t="n">
        <v>48131</v>
      </c>
      <c r="Q42" s="6" t="n">
        <v>34354</v>
      </c>
      <c r="R42" s="6" t="n">
        <v>31237</v>
      </c>
      <c r="S42" s="6" t="n">
        <v>34577</v>
      </c>
      <c r="T42" s="6" t="n">
        <v>32953</v>
      </c>
      <c r="U42" s="6" t="n">
        <v>31561</v>
      </c>
      <c r="V42" s="6" t="n">
        <v>32010</v>
      </c>
      <c r="W42" s="6" t="n">
        <v>32250</v>
      </c>
      <c r="X42" s="6" t="n">
        <v>57454</v>
      </c>
      <c r="Y42" s="6" t="n">
        <v>30767</v>
      </c>
      <c r="Z42" s="6" t="n">
        <v>37218</v>
      </c>
      <c r="AA42" s="6" t="n">
        <v>31462</v>
      </c>
      <c r="AB42" s="6" t="n">
        <v>38694</v>
      </c>
      <c r="AC42" s="6" t="n">
        <v>30268</v>
      </c>
      <c r="AD42" s="6" t="n">
        <v>31922</v>
      </c>
      <c r="AE42" s="6" t="n">
        <v>31731</v>
      </c>
    </row>
    <row r="43">
      <c r="A43" t="n">
        <v>12.5</v>
      </c>
      <c r="B43" s="6" t="n">
        <v>21585</v>
      </c>
      <c r="C43" s="6" t="n">
        <v>16800</v>
      </c>
      <c r="D43" s="6" t="n">
        <v>9255</v>
      </c>
      <c r="E43" s="6" t="n">
        <v>36540</v>
      </c>
      <c r="F43" s="6" t="n">
        <v>37948</v>
      </c>
      <c r="G43" s="6" t="n">
        <v>35284</v>
      </c>
      <c r="H43" s="6" t="n">
        <v>36337</v>
      </c>
      <c r="I43" s="6" t="n">
        <v>69479</v>
      </c>
      <c r="J43" s="6" t="n">
        <v>32462</v>
      </c>
      <c r="K43" s="6" t="n">
        <v>33383</v>
      </c>
      <c r="L43" s="6" t="n">
        <v>33917</v>
      </c>
      <c r="M43" s="6" t="n">
        <v>34024</v>
      </c>
      <c r="N43" s="6" t="n">
        <v>35539</v>
      </c>
      <c r="O43" s="6" t="n">
        <v>33667</v>
      </c>
      <c r="P43" s="6" t="n">
        <v>49590</v>
      </c>
      <c r="Q43" s="6" t="n">
        <v>35813</v>
      </c>
      <c r="R43" s="6" t="n">
        <v>32694</v>
      </c>
      <c r="S43" s="6" t="n">
        <v>36034</v>
      </c>
      <c r="T43" s="6" t="n">
        <v>34413</v>
      </c>
      <c r="U43" s="6" t="n">
        <v>33019</v>
      </c>
      <c r="V43" s="6" t="n">
        <v>33467</v>
      </c>
      <c r="W43" s="6" t="n">
        <v>33710</v>
      </c>
      <c r="X43" s="6" t="n">
        <v>58912</v>
      </c>
      <c r="Y43" s="6" t="n">
        <v>32224</v>
      </c>
      <c r="Z43" s="6" t="n">
        <v>38677</v>
      </c>
      <c r="AA43" s="6" t="n">
        <v>32919</v>
      </c>
      <c r="AB43" s="6" t="n">
        <v>40151</v>
      </c>
      <c r="AC43" s="6" t="n">
        <v>31725</v>
      </c>
      <c r="AD43" s="6" t="n">
        <v>33379</v>
      </c>
      <c r="AE43" s="6" t="n">
        <v>33188</v>
      </c>
    </row>
    <row r="44">
      <c r="A44" t="n">
        <v>13</v>
      </c>
      <c r="B44" s="6" t="n">
        <v>22131</v>
      </c>
      <c r="C44" s="6" t="n">
        <v>17421</v>
      </c>
      <c r="D44" s="6" t="n">
        <v>9589</v>
      </c>
      <c r="E44" s="6" t="n">
        <v>37670</v>
      </c>
      <c r="F44" s="6" t="n">
        <v>42012</v>
      </c>
      <c r="G44" s="6" t="n">
        <v>37175</v>
      </c>
      <c r="H44" s="6" t="n">
        <v>38922</v>
      </c>
      <c r="I44" s="6" t="n">
        <v>79368</v>
      </c>
      <c r="J44" s="6" t="n">
        <v>35043</v>
      </c>
      <c r="K44" s="6" t="n">
        <v>35925</v>
      </c>
      <c r="L44" s="6" t="n">
        <v>36500</v>
      </c>
      <c r="M44" s="6" t="n">
        <v>36607</v>
      </c>
      <c r="N44" s="6" t="n">
        <v>38129</v>
      </c>
      <c r="O44" s="6" t="n">
        <v>36255</v>
      </c>
      <c r="P44" s="6" t="n">
        <v>55018</v>
      </c>
      <c r="Q44" s="6" t="n">
        <v>38398</v>
      </c>
      <c r="R44" s="6" t="n">
        <v>35279</v>
      </c>
      <c r="S44" s="6" t="n">
        <v>37040</v>
      </c>
      <c r="T44" s="6" t="n">
        <v>36983</v>
      </c>
      <c r="U44" s="6" t="n">
        <v>35607</v>
      </c>
      <c r="V44" s="6" t="n">
        <v>34444</v>
      </c>
      <c r="W44" s="6" t="n">
        <v>36295</v>
      </c>
      <c r="X44" s="6" t="n">
        <v>66363</v>
      </c>
      <c r="Y44" s="6" t="n">
        <v>34600</v>
      </c>
      <c r="Z44" s="6" t="n">
        <v>41410</v>
      </c>
      <c r="AA44" s="6" t="n">
        <v>35504</v>
      </c>
      <c r="AB44" s="6" t="n">
        <v>43248</v>
      </c>
      <c r="AC44" s="6" t="n">
        <v>31725</v>
      </c>
      <c r="AD44" s="6" t="n">
        <v>35962</v>
      </c>
      <c r="AE44" s="6" t="n">
        <v>35774</v>
      </c>
    </row>
    <row r="45">
      <c r="A45" t="n">
        <v>13.5</v>
      </c>
      <c r="B45" s="6" t="n">
        <v>22685</v>
      </c>
      <c r="C45" s="6" t="n">
        <v>18058</v>
      </c>
      <c r="D45" s="6" t="n">
        <v>9755</v>
      </c>
      <c r="E45" s="6" t="n">
        <v>39759</v>
      </c>
      <c r="F45" s="6" t="n">
        <v>43470</v>
      </c>
      <c r="G45" s="6" t="n">
        <v>38635</v>
      </c>
      <c r="H45" s="6" t="n">
        <v>40379</v>
      </c>
      <c r="I45" s="6" t="n">
        <v>80827</v>
      </c>
      <c r="J45" s="6" t="n">
        <v>36503</v>
      </c>
      <c r="K45" s="6" t="n">
        <v>37383</v>
      </c>
      <c r="L45" s="6" t="n">
        <v>37957</v>
      </c>
      <c r="M45" s="6" t="n">
        <v>38064</v>
      </c>
      <c r="N45" s="6" t="n">
        <v>39587</v>
      </c>
      <c r="O45" s="6" t="n">
        <v>37713</v>
      </c>
      <c r="P45" s="6" t="n">
        <v>56478</v>
      </c>
      <c r="Q45" s="6" t="n">
        <v>39855</v>
      </c>
      <c r="R45" s="6" t="n">
        <v>36738</v>
      </c>
      <c r="S45" s="6" t="n">
        <v>38497</v>
      </c>
      <c r="T45" s="6" t="n">
        <v>38442</v>
      </c>
      <c r="U45" s="6" t="n">
        <v>37065</v>
      </c>
      <c r="V45" s="6" t="n">
        <v>35902</v>
      </c>
      <c r="W45" s="6" t="n">
        <v>37754</v>
      </c>
      <c r="X45" s="6" t="n">
        <v>67822</v>
      </c>
      <c r="Y45" s="6" t="n">
        <v>36059</v>
      </c>
      <c r="Z45" s="6" t="n">
        <v>42867</v>
      </c>
      <c r="AA45" s="6" t="n">
        <v>36963</v>
      </c>
      <c r="AB45" s="6" t="n">
        <v>44706</v>
      </c>
      <c r="AC45" s="6" t="n">
        <v>31725</v>
      </c>
      <c r="AD45" s="6" t="n">
        <v>37419</v>
      </c>
      <c r="AE45" s="6" t="n">
        <v>37232</v>
      </c>
    </row>
    <row r="46">
      <c r="A46" t="n">
        <v>14</v>
      </c>
      <c r="B46" s="6" t="n">
        <v>23454</v>
      </c>
      <c r="C46" s="6" t="n">
        <v>18679</v>
      </c>
      <c r="D46" s="6" t="n">
        <v>10091</v>
      </c>
      <c r="E46" s="6" t="n">
        <v>40869</v>
      </c>
      <c r="F46" s="6" t="n">
        <v>44198</v>
      </c>
      <c r="G46" s="6" t="n">
        <v>39363</v>
      </c>
      <c r="H46" s="6" t="n">
        <v>41108</v>
      </c>
      <c r="I46" s="6" t="n">
        <v>81554</v>
      </c>
      <c r="J46" s="6" t="n">
        <v>37231</v>
      </c>
      <c r="K46" s="6" t="n">
        <v>38113</v>
      </c>
      <c r="L46" s="6" t="n">
        <v>38687</v>
      </c>
      <c r="M46" s="6" t="n">
        <v>38794</v>
      </c>
      <c r="N46" s="6" t="n">
        <v>40315</v>
      </c>
      <c r="O46" s="6" t="n">
        <v>38443</v>
      </c>
      <c r="P46" s="6" t="n">
        <v>57204</v>
      </c>
      <c r="Q46" s="6" t="n">
        <v>40586</v>
      </c>
      <c r="R46" s="6" t="n">
        <v>37468</v>
      </c>
      <c r="S46" s="6" t="n">
        <v>39226</v>
      </c>
      <c r="T46" s="6" t="n">
        <v>39169</v>
      </c>
      <c r="U46" s="6" t="n">
        <v>37794</v>
      </c>
      <c r="V46" s="6" t="n">
        <v>36632</v>
      </c>
      <c r="W46" s="6" t="n">
        <v>38480</v>
      </c>
      <c r="X46" s="6" t="n">
        <v>68551</v>
      </c>
      <c r="Y46" s="6" t="n">
        <v>36788</v>
      </c>
      <c r="Z46" s="6" t="n">
        <v>43596</v>
      </c>
      <c r="AA46" s="6" t="n">
        <v>37692</v>
      </c>
      <c r="AB46" s="6" t="n">
        <v>45435</v>
      </c>
      <c r="AC46" s="6" t="n">
        <v>31725</v>
      </c>
      <c r="AD46" s="6" t="n">
        <v>38149</v>
      </c>
      <c r="AE46" s="6" t="n">
        <v>37963</v>
      </c>
    </row>
    <row r="47">
      <c r="A47" t="n">
        <v>14.5</v>
      </c>
      <c r="B47" s="6" t="n">
        <v>23766</v>
      </c>
      <c r="C47" s="6" t="n">
        <v>19519</v>
      </c>
      <c r="D47" s="6" t="n">
        <v>10258</v>
      </c>
      <c r="E47" s="6" t="n">
        <v>42000</v>
      </c>
      <c r="F47" s="6" t="n">
        <v>45657</v>
      </c>
      <c r="G47" s="6" t="n">
        <v>40821</v>
      </c>
      <c r="H47" s="6" t="n">
        <v>42568</v>
      </c>
      <c r="I47" s="6" t="n">
        <v>83013</v>
      </c>
      <c r="J47" s="6" t="n">
        <v>38688</v>
      </c>
      <c r="K47" s="6" t="n">
        <v>39570</v>
      </c>
      <c r="L47" s="6" t="n">
        <v>40145</v>
      </c>
      <c r="M47" s="6" t="n">
        <v>40253</v>
      </c>
      <c r="N47" s="6" t="n">
        <v>41772</v>
      </c>
      <c r="O47" s="6" t="n">
        <v>39900</v>
      </c>
      <c r="P47" s="6" t="n">
        <v>58663</v>
      </c>
      <c r="Q47" s="6" t="n">
        <v>42043</v>
      </c>
      <c r="R47" s="6" t="n">
        <v>38925</v>
      </c>
      <c r="S47" s="6" t="n">
        <v>40683</v>
      </c>
      <c r="T47" s="6" t="n">
        <v>40628</v>
      </c>
      <c r="U47" s="6" t="n">
        <v>39253</v>
      </c>
      <c r="V47" s="6" t="n">
        <v>38089</v>
      </c>
      <c r="W47" s="6" t="n">
        <v>39940</v>
      </c>
      <c r="X47" s="6" t="n">
        <v>70009</v>
      </c>
      <c r="Y47" s="6" t="n">
        <v>38246</v>
      </c>
      <c r="Z47" s="6" t="n">
        <v>45054</v>
      </c>
      <c r="AA47" s="6" t="n">
        <v>39149</v>
      </c>
      <c r="AB47" s="6" t="n">
        <v>46894</v>
      </c>
      <c r="AC47" s="6" t="n">
        <v>31725</v>
      </c>
      <c r="AD47" s="6" t="n">
        <v>39607</v>
      </c>
      <c r="AE47" s="6" t="n">
        <v>39420</v>
      </c>
    </row>
    <row r="48">
      <c r="A48" t="n">
        <v>15</v>
      </c>
      <c r="B48" s="6" t="n">
        <v>24509</v>
      </c>
      <c r="C48" s="6" t="n">
        <v>20147</v>
      </c>
      <c r="D48" s="6" t="n">
        <v>10591</v>
      </c>
      <c r="E48" s="6" t="n">
        <v>43132</v>
      </c>
      <c r="F48" s="6" t="n">
        <v>47115</v>
      </c>
      <c r="G48" s="6" t="n">
        <v>42280</v>
      </c>
      <c r="H48" s="6" t="n">
        <v>44025</v>
      </c>
      <c r="I48" s="6" t="n">
        <v>84472</v>
      </c>
      <c r="J48" s="6" t="n">
        <v>40146</v>
      </c>
      <c r="K48" s="6" t="n">
        <v>41029</v>
      </c>
      <c r="L48" s="6" t="n">
        <v>41603</v>
      </c>
      <c r="M48" s="6" t="n">
        <v>41710</v>
      </c>
      <c r="N48" s="6" t="n">
        <v>43232</v>
      </c>
      <c r="O48" s="6" t="n">
        <v>41359</v>
      </c>
      <c r="P48" s="6" t="n">
        <v>60121</v>
      </c>
      <c r="Q48" s="6" t="n">
        <v>43501</v>
      </c>
      <c r="R48" s="6" t="n">
        <v>40383</v>
      </c>
      <c r="S48" s="6" t="n">
        <v>42143</v>
      </c>
      <c r="T48" s="6" t="n">
        <v>42086</v>
      </c>
      <c r="U48" s="6" t="n">
        <v>40710</v>
      </c>
      <c r="V48" s="6" t="n">
        <v>39547</v>
      </c>
      <c r="W48" s="6" t="n">
        <v>41397</v>
      </c>
      <c r="X48" s="6" t="n">
        <v>71468</v>
      </c>
      <c r="Y48" s="6" t="n">
        <v>39704</v>
      </c>
      <c r="Z48" s="6" t="n">
        <v>46513</v>
      </c>
      <c r="AA48" s="6" t="n">
        <v>40606</v>
      </c>
      <c r="AB48" s="6" t="n">
        <v>48352</v>
      </c>
      <c r="AC48" s="6" t="n">
        <v>31725</v>
      </c>
      <c r="AD48" s="6" t="n">
        <v>41065</v>
      </c>
      <c r="AE48" s="6" t="n">
        <v>40878</v>
      </c>
    </row>
    <row r="49">
      <c r="A49" t="n">
        <v>15.5</v>
      </c>
      <c r="B49" s="6" t="n">
        <v>25139</v>
      </c>
      <c r="C49" s="6" t="n">
        <v>20789</v>
      </c>
      <c r="D49" s="6" t="n">
        <v>10760</v>
      </c>
      <c r="E49" s="6" t="n">
        <v>45271</v>
      </c>
      <c r="F49" s="6" t="n">
        <v>47844</v>
      </c>
      <c r="G49" s="6" t="n">
        <v>43008</v>
      </c>
      <c r="H49" s="6" t="n">
        <v>44754</v>
      </c>
      <c r="I49" s="6" t="n">
        <v>85199</v>
      </c>
      <c r="J49" s="6" t="n">
        <v>40875</v>
      </c>
      <c r="K49" s="6" t="n">
        <v>41758</v>
      </c>
      <c r="L49" s="6" t="n">
        <v>42332</v>
      </c>
      <c r="M49" s="6" t="n">
        <v>42439</v>
      </c>
      <c r="N49" s="6" t="n">
        <v>43961</v>
      </c>
      <c r="O49" s="6" t="n">
        <v>42086</v>
      </c>
      <c r="P49" s="6" t="n">
        <v>60850</v>
      </c>
      <c r="Q49" s="6" t="n">
        <v>44231</v>
      </c>
      <c r="R49" s="6" t="n">
        <v>41113</v>
      </c>
      <c r="S49" s="6" t="n">
        <v>42871</v>
      </c>
      <c r="T49" s="6" t="n">
        <v>42814</v>
      </c>
      <c r="U49" s="6" t="n">
        <v>41439</v>
      </c>
      <c r="V49" s="6" t="n">
        <v>40278</v>
      </c>
      <c r="W49" s="6" t="n">
        <v>42126</v>
      </c>
      <c r="X49" s="6" t="n">
        <v>72196</v>
      </c>
      <c r="Y49" s="6" t="n">
        <v>40431</v>
      </c>
      <c r="Z49" s="6" t="n">
        <v>47242</v>
      </c>
      <c r="AA49" s="6" t="n">
        <v>41337</v>
      </c>
      <c r="AB49" s="6" t="n">
        <v>49080</v>
      </c>
      <c r="AC49" s="6" t="n">
        <v>31725</v>
      </c>
      <c r="AD49" s="6" t="n">
        <v>41795</v>
      </c>
      <c r="AE49" s="6" t="n">
        <v>41606</v>
      </c>
    </row>
    <row r="50">
      <c r="A50" t="n">
        <v>16</v>
      </c>
      <c r="B50" s="6" t="n">
        <v>26547</v>
      </c>
      <c r="C50" s="6" t="n">
        <v>21418</v>
      </c>
      <c r="D50" s="6" t="n">
        <v>11093</v>
      </c>
      <c r="E50" s="6" t="n">
        <v>46405</v>
      </c>
      <c r="F50" s="6" t="n">
        <v>51031</v>
      </c>
      <c r="G50" s="6" t="n">
        <v>45101</v>
      </c>
      <c r="H50" s="6" t="n">
        <v>46460</v>
      </c>
      <c r="I50" s="6" t="n">
        <v>95820</v>
      </c>
      <c r="J50" s="6" t="n">
        <v>42588</v>
      </c>
      <c r="K50" s="6" t="n">
        <v>43463</v>
      </c>
      <c r="L50" s="6" t="n">
        <v>44043</v>
      </c>
      <c r="M50" s="6" t="n">
        <v>44152</v>
      </c>
      <c r="N50" s="6" t="n">
        <v>45666</v>
      </c>
      <c r="O50" s="6" t="n">
        <v>43790</v>
      </c>
      <c r="P50" s="6" t="n">
        <v>67005</v>
      </c>
      <c r="Q50" s="6" t="n">
        <v>45937</v>
      </c>
      <c r="R50" s="6" t="n">
        <v>42817</v>
      </c>
      <c r="S50" s="6" t="n">
        <v>44579</v>
      </c>
      <c r="T50" s="6" t="n">
        <v>44512</v>
      </c>
      <c r="U50" s="6" t="n">
        <v>43142</v>
      </c>
      <c r="V50" s="6" t="n">
        <v>41987</v>
      </c>
      <c r="W50" s="6" t="n">
        <v>43834</v>
      </c>
      <c r="X50" s="6" t="n">
        <v>80384</v>
      </c>
      <c r="Y50" s="6" t="n">
        <v>41928</v>
      </c>
      <c r="Z50" s="6" t="n">
        <v>50624</v>
      </c>
      <c r="AA50" s="6" t="n">
        <v>43042</v>
      </c>
      <c r="AB50" s="6" t="n">
        <v>52917</v>
      </c>
      <c r="AC50" s="6" t="n">
        <v>31725</v>
      </c>
      <c r="AD50" s="6" t="n">
        <v>43505</v>
      </c>
      <c r="AE50" s="6" t="n">
        <v>43319</v>
      </c>
    </row>
    <row r="51">
      <c r="A51" t="n">
        <v>16.5</v>
      </c>
      <c r="B51" s="6" t="n">
        <v>27138</v>
      </c>
      <c r="C51" s="6" t="n">
        <v>22061</v>
      </c>
      <c r="D51" s="6" t="n">
        <v>11261</v>
      </c>
      <c r="E51" s="6" t="n">
        <v>47507</v>
      </c>
      <c r="F51" s="6" t="n">
        <v>51760</v>
      </c>
      <c r="G51" s="6" t="n">
        <v>45829</v>
      </c>
      <c r="H51" s="6" t="n">
        <v>47188</v>
      </c>
      <c r="I51" s="6" t="n">
        <v>96550</v>
      </c>
      <c r="J51" s="6" t="n">
        <v>43317</v>
      </c>
      <c r="K51" s="6" t="n">
        <v>44192</v>
      </c>
      <c r="L51" s="6" t="n">
        <v>44771</v>
      </c>
      <c r="M51" s="6" t="n">
        <v>44879</v>
      </c>
      <c r="N51" s="6" t="n">
        <v>46395</v>
      </c>
      <c r="O51" s="6" t="n">
        <v>44519</v>
      </c>
      <c r="P51" s="6" t="n">
        <v>67734</v>
      </c>
      <c r="Q51" s="6" t="n">
        <v>46665</v>
      </c>
      <c r="R51" s="6" t="n">
        <v>43546</v>
      </c>
      <c r="S51" s="6" t="n">
        <v>45310</v>
      </c>
      <c r="T51" s="6" t="n">
        <v>45242</v>
      </c>
      <c r="U51" s="6" t="n">
        <v>43870</v>
      </c>
      <c r="V51" s="6" t="n">
        <v>42716</v>
      </c>
      <c r="W51" s="6" t="n">
        <v>44564</v>
      </c>
      <c r="X51" s="6" t="n">
        <v>81113</v>
      </c>
      <c r="Y51" s="6" t="n">
        <v>42656</v>
      </c>
      <c r="Z51" s="6" t="n">
        <v>51354</v>
      </c>
      <c r="AA51" s="6" t="n">
        <v>43771</v>
      </c>
      <c r="AB51" s="6" t="n">
        <v>53644</v>
      </c>
      <c r="AC51" s="6" t="n">
        <v>31725</v>
      </c>
      <c r="AD51" s="6" t="n">
        <v>44234</v>
      </c>
      <c r="AE51" s="6" t="n">
        <v>44047</v>
      </c>
    </row>
    <row r="52">
      <c r="A52" t="n">
        <v>17</v>
      </c>
      <c r="B52" s="6" t="n">
        <v>27817</v>
      </c>
      <c r="C52" s="6" t="n">
        <v>22689</v>
      </c>
      <c r="D52" s="6" t="n">
        <v>12808</v>
      </c>
      <c r="E52" s="6" t="n">
        <v>49605</v>
      </c>
      <c r="F52" s="6" t="n">
        <v>53217</v>
      </c>
      <c r="G52" s="6" t="n">
        <v>47288</v>
      </c>
      <c r="H52" s="6" t="n">
        <v>48646</v>
      </c>
      <c r="I52" s="6" t="n">
        <v>98008</v>
      </c>
      <c r="J52" s="6" t="n">
        <v>44774</v>
      </c>
      <c r="K52" s="6" t="n">
        <v>45650</v>
      </c>
      <c r="L52" s="6" t="n">
        <v>46229</v>
      </c>
      <c r="M52" s="6" t="n">
        <v>46338</v>
      </c>
      <c r="N52" s="6" t="n">
        <v>47854</v>
      </c>
      <c r="O52" s="6" t="n">
        <v>45977</v>
      </c>
      <c r="P52" s="6" t="n">
        <v>69191</v>
      </c>
      <c r="Q52" s="6" t="n">
        <v>48123</v>
      </c>
      <c r="R52" s="6" t="n">
        <v>45005</v>
      </c>
      <c r="S52" s="6" t="n">
        <v>46767</v>
      </c>
      <c r="T52" s="6" t="n">
        <v>46699</v>
      </c>
      <c r="U52" s="6" t="n">
        <v>45329</v>
      </c>
      <c r="V52" s="6" t="n">
        <v>44173</v>
      </c>
      <c r="W52" s="6" t="n">
        <v>46022</v>
      </c>
      <c r="X52" s="6" t="n">
        <v>82571</v>
      </c>
      <c r="Y52" s="6" t="n">
        <v>44113</v>
      </c>
      <c r="Z52" s="6" t="n">
        <v>52813</v>
      </c>
      <c r="AA52" s="6" t="n">
        <v>45229</v>
      </c>
      <c r="AB52" s="6" t="n">
        <v>55103</v>
      </c>
      <c r="AC52" s="6" t="n">
        <v>31725</v>
      </c>
      <c r="AD52" s="6" t="n">
        <v>45694</v>
      </c>
      <c r="AE52" s="6" t="n">
        <v>45504</v>
      </c>
    </row>
    <row r="53">
      <c r="A53" t="n">
        <v>17.5</v>
      </c>
      <c r="B53" s="6" t="n">
        <v>28478</v>
      </c>
      <c r="C53" s="6" t="n">
        <v>23332</v>
      </c>
      <c r="D53" s="6" t="n">
        <v>12975</v>
      </c>
      <c r="E53" s="6" t="n">
        <v>50736</v>
      </c>
      <c r="F53" s="6" t="n">
        <v>54677</v>
      </c>
      <c r="G53" s="6" t="n">
        <v>48745</v>
      </c>
      <c r="H53" s="6" t="n">
        <v>50105</v>
      </c>
      <c r="I53" s="6" t="n">
        <v>99465</v>
      </c>
      <c r="J53" s="6" t="n">
        <v>46233</v>
      </c>
      <c r="K53" s="6" t="n">
        <v>47107</v>
      </c>
      <c r="L53" s="6" t="n">
        <v>47688</v>
      </c>
      <c r="M53" s="6" t="n">
        <v>47796</v>
      </c>
      <c r="N53" s="6" t="n">
        <v>49311</v>
      </c>
      <c r="O53" s="6" t="n">
        <v>47436</v>
      </c>
      <c r="P53" s="6" t="n">
        <v>70651</v>
      </c>
      <c r="Q53" s="6" t="n">
        <v>49580</v>
      </c>
      <c r="R53" s="6" t="n">
        <v>46463</v>
      </c>
      <c r="S53" s="6" t="n">
        <v>48225</v>
      </c>
      <c r="T53" s="6" t="n">
        <v>48157</v>
      </c>
      <c r="U53" s="6" t="n">
        <v>46787</v>
      </c>
      <c r="V53" s="6" t="n">
        <v>45632</v>
      </c>
      <c r="W53" s="6" t="n">
        <v>47479</v>
      </c>
      <c r="X53" s="6" t="n">
        <v>84029</v>
      </c>
      <c r="Y53" s="6" t="n">
        <v>45573</v>
      </c>
      <c r="Z53" s="6" t="n">
        <v>54270</v>
      </c>
      <c r="AA53" s="6" t="n">
        <v>46688</v>
      </c>
      <c r="AB53" s="6" t="n">
        <v>56561</v>
      </c>
      <c r="AC53" s="6" t="n">
        <v>31725</v>
      </c>
      <c r="AD53" s="6" t="n">
        <v>47151</v>
      </c>
      <c r="AE53" s="6" t="n">
        <v>46964</v>
      </c>
    </row>
    <row r="54">
      <c r="A54" t="n">
        <v>18</v>
      </c>
      <c r="B54" s="6" t="n">
        <v>29144</v>
      </c>
      <c r="C54" s="6" t="n">
        <v>23959</v>
      </c>
      <c r="D54" s="6" t="n">
        <v>13309</v>
      </c>
      <c r="E54" s="6" t="n">
        <v>51868</v>
      </c>
      <c r="F54" s="6" t="n">
        <v>55404</v>
      </c>
      <c r="G54" s="6" t="n">
        <v>49475</v>
      </c>
      <c r="H54" s="6" t="n">
        <v>50833</v>
      </c>
      <c r="I54" s="6" t="n">
        <v>100196</v>
      </c>
      <c r="J54" s="6" t="n">
        <v>46963</v>
      </c>
      <c r="K54" s="6" t="n">
        <v>47838</v>
      </c>
      <c r="L54" s="6" t="n">
        <v>48417</v>
      </c>
      <c r="M54" s="6" t="n">
        <v>48524</v>
      </c>
      <c r="N54" s="6" t="n">
        <v>50040</v>
      </c>
      <c r="O54" s="6" t="n">
        <v>48164</v>
      </c>
      <c r="P54" s="6" t="n">
        <v>71379</v>
      </c>
      <c r="Q54" s="6" t="n">
        <v>50311</v>
      </c>
      <c r="R54" s="6" t="n">
        <v>47191</v>
      </c>
      <c r="S54" s="6" t="n">
        <v>48954</v>
      </c>
      <c r="T54" s="6" t="n">
        <v>48885</v>
      </c>
      <c r="U54" s="6" t="n">
        <v>47515</v>
      </c>
      <c r="V54" s="6" t="n">
        <v>46362</v>
      </c>
      <c r="W54" s="6" t="n">
        <v>48210</v>
      </c>
      <c r="X54" s="6" t="n">
        <v>84759</v>
      </c>
      <c r="Y54" s="6" t="n">
        <v>46302</v>
      </c>
      <c r="Z54" s="6" t="n">
        <v>54998</v>
      </c>
      <c r="AA54" s="6" t="n">
        <v>47417</v>
      </c>
      <c r="AB54" s="6" t="n">
        <v>57289</v>
      </c>
      <c r="AC54" s="6" t="n">
        <v>31725</v>
      </c>
      <c r="AD54" s="6" t="n">
        <v>47879</v>
      </c>
      <c r="AE54" s="6" t="n">
        <v>47691</v>
      </c>
    </row>
    <row r="55">
      <c r="A55" t="n">
        <v>18.5</v>
      </c>
      <c r="B55" s="6" t="n">
        <v>29687</v>
      </c>
      <c r="C55" s="6" t="n">
        <v>24602</v>
      </c>
      <c r="D55" s="6" t="n">
        <v>13477</v>
      </c>
      <c r="E55" s="6" t="n">
        <v>53962</v>
      </c>
      <c r="F55" s="6" t="n">
        <v>56863</v>
      </c>
      <c r="G55" s="6" t="n">
        <v>50933</v>
      </c>
      <c r="H55" s="6" t="n">
        <v>52291</v>
      </c>
      <c r="I55" s="6" t="n">
        <v>101653</v>
      </c>
      <c r="J55" s="6" t="n">
        <v>48420</v>
      </c>
      <c r="K55" s="6" t="n">
        <v>49296</v>
      </c>
      <c r="L55" s="6" t="n">
        <v>49874</v>
      </c>
      <c r="M55" s="6" t="n">
        <v>49984</v>
      </c>
      <c r="N55" s="6" t="n">
        <v>51499</v>
      </c>
      <c r="O55" s="6" t="n">
        <v>49622</v>
      </c>
      <c r="P55" s="6" t="n">
        <v>72837</v>
      </c>
      <c r="Q55" s="6" t="n">
        <v>51769</v>
      </c>
      <c r="R55" s="6" t="n">
        <v>48650</v>
      </c>
      <c r="S55" s="6" t="n">
        <v>50413</v>
      </c>
      <c r="T55" s="6" t="n">
        <v>50345</v>
      </c>
      <c r="U55" s="6" t="n">
        <v>48975</v>
      </c>
      <c r="V55" s="6" t="n">
        <v>47819</v>
      </c>
      <c r="W55" s="6" t="n">
        <v>49667</v>
      </c>
      <c r="X55" s="6" t="n">
        <v>86216</v>
      </c>
      <c r="Y55" s="6" t="n">
        <v>47759</v>
      </c>
      <c r="Z55" s="6" t="n">
        <v>56456</v>
      </c>
      <c r="AA55" s="6" t="n">
        <v>48874</v>
      </c>
      <c r="AB55" s="6" t="n">
        <v>58746</v>
      </c>
      <c r="AC55" s="6" t="n">
        <v>31725</v>
      </c>
      <c r="AD55" s="6" t="n">
        <v>49339</v>
      </c>
      <c r="AE55" s="6" t="n">
        <v>49150</v>
      </c>
    </row>
    <row r="56">
      <c r="A56" t="n">
        <v>19</v>
      </c>
      <c r="B56" s="6" t="n">
        <v>30372</v>
      </c>
      <c r="C56" s="6" t="n">
        <v>25230</v>
      </c>
      <c r="D56" s="6" t="n">
        <v>13811</v>
      </c>
      <c r="E56" s="6" t="n">
        <v>55094</v>
      </c>
      <c r="F56" s="6" t="n">
        <v>57593</v>
      </c>
      <c r="G56" s="6" t="n">
        <v>51661</v>
      </c>
      <c r="H56" s="6" t="n">
        <v>53021</v>
      </c>
      <c r="I56" s="6" t="n">
        <v>102382</v>
      </c>
      <c r="J56" s="6" t="n">
        <v>49148</v>
      </c>
      <c r="K56" s="6" t="n">
        <v>50023</v>
      </c>
      <c r="L56" s="6" t="n">
        <v>50604</v>
      </c>
      <c r="M56" s="6" t="n">
        <v>50712</v>
      </c>
      <c r="N56" s="6" t="n">
        <v>52228</v>
      </c>
      <c r="O56" s="6" t="n">
        <v>50351</v>
      </c>
      <c r="P56" s="6" t="n">
        <v>73567</v>
      </c>
      <c r="Q56" s="6" t="n">
        <v>52496</v>
      </c>
      <c r="R56" s="6" t="n">
        <v>49379</v>
      </c>
      <c r="S56" s="6" t="n">
        <v>51142</v>
      </c>
      <c r="T56" s="6" t="n">
        <v>51073</v>
      </c>
      <c r="U56" s="6" t="n">
        <v>49702</v>
      </c>
      <c r="V56" s="6" t="n">
        <v>48549</v>
      </c>
      <c r="W56" s="6" t="n">
        <v>50396</v>
      </c>
      <c r="X56" s="6" t="n">
        <v>86945</v>
      </c>
      <c r="Y56" s="6" t="n">
        <v>48489</v>
      </c>
      <c r="Z56" s="6" t="n">
        <v>57185</v>
      </c>
      <c r="AA56" s="6" t="n">
        <v>49603</v>
      </c>
      <c r="AB56" s="6" t="n">
        <v>59477</v>
      </c>
      <c r="AC56" s="6" t="n">
        <v>31725</v>
      </c>
      <c r="AD56" s="6" t="n">
        <v>50066</v>
      </c>
      <c r="AE56" s="6" t="n">
        <v>49879</v>
      </c>
    </row>
    <row r="57">
      <c r="A57" t="n">
        <v>19.5</v>
      </c>
      <c r="B57" s="6" t="n">
        <v>31062</v>
      </c>
      <c r="C57" s="6" t="n">
        <v>25873</v>
      </c>
      <c r="D57" s="6" t="n">
        <v>13978</v>
      </c>
      <c r="E57" s="6" t="n">
        <v>56203</v>
      </c>
      <c r="F57" s="6" t="n">
        <v>57593</v>
      </c>
      <c r="G57" s="6" t="n">
        <v>51661</v>
      </c>
      <c r="H57" s="6" t="n">
        <v>53021</v>
      </c>
      <c r="I57" s="6" t="n">
        <v>102382</v>
      </c>
      <c r="J57" s="6" t="n">
        <v>49148</v>
      </c>
      <c r="K57" s="6" t="n">
        <v>50023</v>
      </c>
      <c r="L57" s="6" t="n">
        <v>50604</v>
      </c>
      <c r="M57" s="6" t="n">
        <v>50712</v>
      </c>
      <c r="N57" s="6" t="n">
        <v>52228</v>
      </c>
      <c r="O57" s="6" t="n">
        <v>50351</v>
      </c>
      <c r="P57" s="6" t="n">
        <v>73567</v>
      </c>
      <c r="Q57" s="6" t="n">
        <v>52496</v>
      </c>
      <c r="R57" s="6" t="n">
        <v>49379</v>
      </c>
      <c r="S57" s="6" t="n">
        <v>51142</v>
      </c>
      <c r="T57" s="6" t="n">
        <v>51073</v>
      </c>
      <c r="U57" s="6" t="n">
        <v>49702</v>
      </c>
      <c r="V57" s="6" t="n">
        <v>48549</v>
      </c>
      <c r="W57" s="6" t="n">
        <v>50396</v>
      </c>
      <c r="X57" s="6" t="n">
        <v>86945</v>
      </c>
      <c r="Y57" s="6" t="n">
        <v>48489</v>
      </c>
      <c r="Z57" s="6" t="n">
        <v>57185</v>
      </c>
      <c r="AA57" s="6" t="n">
        <v>49603</v>
      </c>
      <c r="AB57" s="6" t="n">
        <v>59477</v>
      </c>
      <c r="AC57" s="6" t="n">
        <v>31725</v>
      </c>
      <c r="AD57" s="6" t="n">
        <v>50066</v>
      </c>
      <c r="AE57" s="6" t="n">
        <v>49879</v>
      </c>
    </row>
    <row r="58">
      <c r="A58" t="n">
        <v>20</v>
      </c>
      <c r="B58" s="6" t="n">
        <v>32016</v>
      </c>
      <c r="C58" s="6" t="n">
        <v>26501</v>
      </c>
      <c r="D58" s="6" t="n">
        <v>14313</v>
      </c>
      <c r="E58" s="6" t="n">
        <v>57332</v>
      </c>
      <c r="F58" s="6" t="n">
        <v>57593</v>
      </c>
      <c r="G58" s="6" t="n">
        <v>51661</v>
      </c>
      <c r="H58" s="6" t="n">
        <v>53021</v>
      </c>
      <c r="I58" s="6" t="n">
        <v>102382</v>
      </c>
      <c r="J58" s="6" t="n">
        <v>49148</v>
      </c>
      <c r="K58" s="6" t="n">
        <v>50023</v>
      </c>
      <c r="L58" s="6" t="n">
        <v>50604</v>
      </c>
      <c r="M58" s="6" t="n">
        <v>50712</v>
      </c>
      <c r="N58" s="6" t="n">
        <v>52228</v>
      </c>
      <c r="O58" s="6" t="n">
        <v>50351</v>
      </c>
      <c r="P58" s="6" t="n">
        <v>73567</v>
      </c>
      <c r="Q58" s="6" t="n">
        <v>52496</v>
      </c>
      <c r="R58" s="6" t="n">
        <v>49379</v>
      </c>
      <c r="S58" s="6" t="n">
        <v>51142</v>
      </c>
      <c r="T58" s="6" t="n">
        <v>51073</v>
      </c>
      <c r="U58" s="6" t="n">
        <v>49702</v>
      </c>
      <c r="V58" s="6" t="n">
        <v>48549</v>
      </c>
      <c r="W58" s="6" t="n">
        <v>50396</v>
      </c>
      <c r="X58" s="6" t="n">
        <v>86945</v>
      </c>
      <c r="Y58" s="6" t="n">
        <v>48489</v>
      </c>
      <c r="Z58" s="6" t="n">
        <v>57185</v>
      </c>
      <c r="AA58" s="6" t="n">
        <v>49603</v>
      </c>
      <c r="AB58" s="6" t="n">
        <v>59477</v>
      </c>
      <c r="AC58" s="6" t="n">
        <v>31725</v>
      </c>
      <c r="AD58" s="6" t="n">
        <v>50066</v>
      </c>
      <c r="AE58" s="6" t="n">
        <v>49879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4" customWidth="1" min="5" max="5"/>
    <col width="12" customWidth="1" min="6" max="6"/>
    <col width="13" customWidth="1" min="7" max="7"/>
    <col width="12" customWidth="1" min="8" max="8"/>
    <col width="11" customWidth="1" min="9" max="9"/>
    <col width="12" customWidth="1" min="10" max="10"/>
    <col width="11" customWidth="1" min="11" max="11"/>
  </cols>
  <sheetData>
    <row r="1">
      <c r="A1" s="7" t="inlineStr">
        <is>
          <t>同条件での合計送料の比較（円・eBay SpeedPAK Economy）。各列とも燃油12%・固定手数料込みの「支払い総額」ベース（通常時）</t>
        </is>
      </c>
    </row>
    <row r="2">
      <c r="A2" t="inlineStr">
        <is>
          <t>※EU繁忙期割増34円(11/1〜12/31)や豪州の検疫等の条件付き費用は含まない。アメリカ諸費用込みはアメリカタブの申告価格・関税率入力に連動（初期値$50・15%）</t>
        </is>
      </c>
    </row>
    <row r="3">
      <c r="A3" s="8" t="inlineStr">
        <is>
          <t>重量kg最大</t>
        </is>
      </c>
      <c r="B3" s="8" t="inlineStr">
        <is>
          <t>アメリカ本土48州（燃油・通関245円込み）</t>
        </is>
      </c>
      <c r="C3" s="8" t="inlineStr">
        <is>
          <t>アメリカ諸費用込み（＋関税）</t>
        </is>
      </c>
      <c r="D3" s="8" t="inlineStr">
        <is>
          <t>イギリス（燃油込み）</t>
        </is>
      </c>
      <c r="E3" s="8" t="inlineStr">
        <is>
          <t>オーストラリア（燃油込み）</t>
        </is>
      </c>
      <c r="F3" s="8" t="inlineStr">
        <is>
          <t>EU:ドイツ（燃油・関税込み）</t>
        </is>
      </c>
      <c r="G3" s="8" t="inlineStr">
        <is>
          <t>EU:フランス（燃油・関税込み）</t>
        </is>
      </c>
      <c r="H3" s="8" t="inlineStr">
        <is>
          <t>EU最安（額・込み）</t>
        </is>
      </c>
      <c r="I3" s="8" t="inlineStr">
        <is>
          <t>EU最安（国）</t>
        </is>
      </c>
      <c r="J3" s="8" t="inlineStr">
        <is>
          <t>EU最高（額・込み）</t>
        </is>
      </c>
      <c r="K3" s="8" t="inlineStr">
        <is>
          <t>EU最高（国）</t>
        </is>
      </c>
    </row>
    <row r="4">
      <c r="A4">
        <f>基礎データ!A3</f>
        <v/>
      </c>
      <c r="B4" s="6">
        <f>基礎データ!B3*(1+前提・出典!$B$2)+前提・出典!$B$5</f>
        <v/>
      </c>
      <c r="C4" s="6">
        <f>B4+アメリカ!$B$6</f>
        <v/>
      </c>
      <c r="D4" s="6">
        <f>基礎データ!C3*(1+前提・出典!$B$2)</f>
        <v/>
      </c>
      <c r="E4" s="6">
        <f>基礎データ!D3*(1+前提・出典!$B$2)</f>
        <v/>
      </c>
      <c r="F4" s="6">
        <f>基礎データ!E3*(1+前提・出典!$B$2)+前提・出典!$B$3*(1+前提・出典!$B$4)</f>
        <v/>
      </c>
      <c r="G4" s="6">
        <f>基礎データ!O3*(1+前提・出典!$B$2)+前提・出典!$B$3*(1+前提・出典!$B$4)</f>
        <v/>
      </c>
      <c r="H4" s="6">
        <f>MIN(基礎データ!$E3:$AE3)*(1+前提・出典!$B$2)+前提・出典!$B$3*(1+前提・出典!$B$4)</f>
        <v/>
      </c>
      <c r="I4" s="9">
        <f>INDEX(基礎データ!$E$2:$AE$2,MATCH(MIN(基礎データ!$E3:$AE3),基礎データ!$E3:$AE3,0))</f>
        <v/>
      </c>
      <c r="J4" s="6">
        <f>MAX(基礎データ!$E3:$AE3)*(1+前提・出典!$B$2)+前提・出典!$B$3*(1+前提・出典!$B$4)</f>
        <v/>
      </c>
      <c r="K4" s="9">
        <f>INDEX(基礎データ!$E$2:$AE$2,MATCH(MAX(基礎データ!$E3:$AE3),基礎データ!$E3:$AE3,0))</f>
        <v/>
      </c>
    </row>
    <row r="5">
      <c r="A5">
        <f>基礎データ!A4</f>
        <v/>
      </c>
      <c r="B5" s="6">
        <f>基礎データ!B4*(1+前提・出典!$B$2)+前提・出典!$B$5</f>
        <v/>
      </c>
      <c r="C5" s="6">
        <f>B5+アメリカ!$B$6</f>
        <v/>
      </c>
      <c r="D5" s="6">
        <f>基礎データ!C4*(1+前提・出典!$B$2)</f>
        <v/>
      </c>
      <c r="E5" s="6">
        <f>基礎データ!D4*(1+前提・出典!$B$2)</f>
        <v/>
      </c>
      <c r="F5" s="6">
        <f>基礎データ!E4*(1+前提・出典!$B$2)+前提・出典!$B$3*(1+前提・出典!$B$4)</f>
        <v/>
      </c>
      <c r="G5" s="6">
        <f>基礎データ!O4*(1+前提・出典!$B$2)+前提・出典!$B$3*(1+前提・出典!$B$4)</f>
        <v/>
      </c>
      <c r="H5" s="6">
        <f>MIN(基礎データ!$E4:$AE4)*(1+前提・出典!$B$2)+前提・出典!$B$3*(1+前提・出典!$B$4)</f>
        <v/>
      </c>
      <c r="I5" s="9">
        <f>INDEX(基礎データ!$E$2:$AE$2,MATCH(MIN(基礎データ!$E4:$AE4),基礎データ!$E4:$AE4,0))</f>
        <v/>
      </c>
      <c r="J5" s="6">
        <f>MAX(基礎データ!$E4:$AE4)*(1+前提・出典!$B$2)+前提・出典!$B$3*(1+前提・出典!$B$4)</f>
        <v/>
      </c>
      <c r="K5" s="9">
        <f>INDEX(基礎データ!$E$2:$AE$2,MATCH(MAX(基礎データ!$E4:$AE4),基礎データ!$E4:$AE4,0))</f>
        <v/>
      </c>
    </row>
    <row r="6">
      <c r="A6">
        <f>基礎データ!A5</f>
        <v/>
      </c>
      <c r="B6" s="6">
        <f>基礎データ!B5*(1+前提・出典!$B$2)+前提・出典!$B$5</f>
        <v/>
      </c>
      <c r="C6" s="6">
        <f>B6+アメリカ!$B$6</f>
        <v/>
      </c>
      <c r="D6" s="6">
        <f>基礎データ!C5*(1+前提・出典!$B$2)</f>
        <v/>
      </c>
      <c r="E6" s="6">
        <f>基礎データ!D5*(1+前提・出典!$B$2)</f>
        <v/>
      </c>
      <c r="F6" s="6">
        <f>基礎データ!E5*(1+前提・出典!$B$2)+前提・出典!$B$3*(1+前提・出典!$B$4)</f>
        <v/>
      </c>
      <c r="G6" s="6">
        <f>基礎データ!O5*(1+前提・出典!$B$2)+前提・出典!$B$3*(1+前提・出典!$B$4)</f>
        <v/>
      </c>
      <c r="H6" s="6">
        <f>MIN(基礎データ!$E5:$AE5)*(1+前提・出典!$B$2)+前提・出典!$B$3*(1+前提・出典!$B$4)</f>
        <v/>
      </c>
      <c r="I6" s="9">
        <f>INDEX(基礎データ!$E$2:$AE$2,MATCH(MIN(基礎データ!$E5:$AE5),基礎データ!$E5:$AE5,0))</f>
        <v/>
      </c>
      <c r="J6" s="6">
        <f>MAX(基礎データ!$E5:$AE5)*(1+前提・出典!$B$2)+前提・出典!$B$3*(1+前提・出典!$B$4)</f>
        <v/>
      </c>
      <c r="K6" s="9">
        <f>INDEX(基礎データ!$E$2:$AE$2,MATCH(MAX(基礎データ!$E5:$AE5),基礎データ!$E5:$AE5,0))</f>
        <v/>
      </c>
    </row>
    <row r="7">
      <c r="A7">
        <f>基礎データ!A6</f>
        <v/>
      </c>
      <c r="B7" s="6">
        <f>基礎データ!B6*(1+前提・出典!$B$2)+前提・出典!$B$5</f>
        <v/>
      </c>
      <c r="C7" s="6">
        <f>B7+アメリカ!$B$6</f>
        <v/>
      </c>
      <c r="D7" s="6">
        <f>基礎データ!C6*(1+前提・出典!$B$2)</f>
        <v/>
      </c>
      <c r="E7" s="6">
        <f>基礎データ!D6*(1+前提・出典!$B$2)</f>
        <v/>
      </c>
      <c r="F7" s="6">
        <f>基礎データ!E6*(1+前提・出典!$B$2)+前提・出典!$B$3*(1+前提・出典!$B$4)</f>
        <v/>
      </c>
      <c r="G7" s="6">
        <f>基礎データ!O6*(1+前提・出典!$B$2)+前提・出典!$B$3*(1+前提・出典!$B$4)</f>
        <v/>
      </c>
      <c r="H7" s="6">
        <f>MIN(基礎データ!$E6:$AE6)*(1+前提・出典!$B$2)+前提・出典!$B$3*(1+前提・出典!$B$4)</f>
        <v/>
      </c>
      <c r="I7" s="9">
        <f>INDEX(基礎データ!$E$2:$AE$2,MATCH(MIN(基礎データ!$E6:$AE6),基礎データ!$E6:$AE6,0))</f>
        <v/>
      </c>
      <c r="J7" s="6">
        <f>MAX(基礎データ!$E6:$AE6)*(1+前提・出典!$B$2)+前提・出典!$B$3*(1+前提・出典!$B$4)</f>
        <v/>
      </c>
      <c r="K7" s="9">
        <f>INDEX(基礎データ!$E$2:$AE$2,MATCH(MAX(基礎データ!$E6:$AE6),基礎データ!$E6:$AE6,0))</f>
        <v/>
      </c>
    </row>
    <row r="8">
      <c r="A8">
        <f>基礎データ!A7</f>
        <v/>
      </c>
      <c r="B8" s="6">
        <f>基礎データ!B7*(1+前提・出典!$B$2)+前提・出典!$B$5</f>
        <v/>
      </c>
      <c r="C8" s="6">
        <f>B8+アメリカ!$B$6</f>
        <v/>
      </c>
      <c r="D8" s="6">
        <f>基礎データ!C7*(1+前提・出典!$B$2)</f>
        <v/>
      </c>
      <c r="E8" s="6">
        <f>基礎データ!D7*(1+前提・出典!$B$2)</f>
        <v/>
      </c>
      <c r="F8" s="6">
        <f>基礎データ!E7*(1+前提・出典!$B$2)+前提・出典!$B$3*(1+前提・出典!$B$4)</f>
        <v/>
      </c>
      <c r="G8" s="6">
        <f>基礎データ!O7*(1+前提・出典!$B$2)+前提・出典!$B$3*(1+前提・出典!$B$4)</f>
        <v/>
      </c>
      <c r="H8" s="6">
        <f>MIN(基礎データ!$E7:$AE7)*(1+前提・出典!$B$2)+前提・出典!$B$3*(1+前提・出典!$B$4)</f>
        <v/>
      </c>
      <c r="I8" s="9">
        <f>INDEX(基礎データ!$E$2:$AE$2,MATCH(MIN(基礎データ!$E7:$AE7),基礎データ!$E7:$AE7,0))</f>
        <v/>
      </c>
      <c r="J8" s="6">
        <f>MAX(基礎データ!$E7:$AE7)*(1+前提・出典!$B$2)+前提・出典!$B$3*(1+前提・出典!$B$4)</f>
        <v/>
      </c>
      <c r="K8" s="9">
        <f>INDEX(基礎データ!$E$2:$AE$2,MATCH(MAX(基礎データ!$E7:$AE7),基礎データ!$E7:$AE7,0))</f>
        <v/>
      </c>
    </row>
    <row r="9">
      <c r="A9">
        <f>基礎データ!A8</f>
        <v/>
      </c>
      <c r="B9" s="6">
        <f>基礎データ!B8*(1+前提・出典!$B$2)+前提・出典!$B$5</f>
        <v/>
      </c>
      <c r="C9" s="6">
        <f>B9+アメリカ!$B$6</f>
        <v/>
      </c>
      <c r="D9" s="6">
        <f>基礎データ!C8*(1+前提・出典!$B$2)</f>
        <v/>
      </c>
      <c r="E9" s="6">
        <f>基礎データ!D8*(1+前提・出典!$B$2)</f>
        <v/>
      </c>
      <c r="F9" s="6">
        <f>基礎データ!E8*(1+前提・出典!$B$2)+前提・出典!$B$3*(1+前提・出典!$B$4)</f>
        <v/>
      </c>
      <c r="G9" s="6">
        <f>基礎データ!O8*(1+前提・出典!$B$2)+前提・出典!$B$3*(1+前提・出典!$B$4)</f>
        <v/>
      </c>
      <c r="H9" s="6">
        <f>MIN(基礎データ!$E8:$AE8)*(1+前提・出典!$B$2)+前提・出典!$B$3*(1+前提・出典!$B$4)</f>
        <v/>
      </c>
      <c r="I9" s="9">
        <f>INDEX(基礎データ!$E$2:$AE$2,MATCH(MIN(基礎データ!$E8:$AE8),基礎データ!$E8:$AE8,0))</f>
        <v/>
      </c>
      <c r="J9" s="6">
        <f>MAX(基礎データ!$E8:$AE8)*(1+前提・出典!$B$2)+前提・出典!$B$3*(1+前提・出典!$B$4)</f>
        <v/>
      </c>
      <c r="K9" s="9">
        <f>INDEX(基礎データ!$E$2:$AE$2,MATCH(MAX(基礎データ!$E8:$AE8),基礎データ!$E8:$AE8,0))</f>
        <v/>
      </c>
    </row>
    <row r="10">
      <c r="A10">
        <f>基礎データ!A9</f>
        <v/>
      </c>
      <c r="B10" s="6">
        <f>基礎データ!B9*(1+前提・出典!$B$2)+前提・出典!$B$5</f>
        <v/>
      </c>
      <c r="C10" s="6">
        <f>B10+アメリカ!$B$6</f>
        <v/>
      </c>
      <c r="D10" s="6">
        <f>基礎データ!C9*(1+前提・出典!$B$2)</f>
        <v/>
      </c>
      <c r="E10" s="6">
        <f>基礎データ!D9*(1+前提・出典!$B$2)</f>
        <v/>
      </c>
      <c r="F10" s="6">
        <f>基礎データ!E9*(1+前提・出典!$B$2)+前提・出典!$B$3*(1+前提・出典!$B$4)</f>
        <v/>
      </c>
      <c r="G10" s="6">
        <f>基礎データ!O9*(1+前提・出典!$B$2)+前提・出典!$B$3*(1+前提・出典!$B$4)</f>
        <v/>
      </c>
      <c r="H10" s="6">
        <f>MIN(基礎データ!$E9:$AE9)*(1+前提・出典!$B$2)+前提・出典!$B$3*(1+前提・出典!$B$4)</f>
        <v/>
      </c>
      <c r="I10" s="9">
        <f>INDEX(基礎データ!$E$2:$AE$2,MATCH(MIN(基礎データ!$E9:$AE9),基礎データ!$E9:$AE9,0))</f>
        <v/>
      </c>
      <c r="J10" s="6">
        <f>MAX(基礎データ!$E9:$AE9)*(1+前提・出典!$B$2)+前提・出典!$B$3*(1+前提・出典!$B$4)</f>
        <v/>
      </c>
      <c r="K10" s="9">
        <f>INDEX(基礎データ!$E$2:$AE$2,MATCH(MAX(基礎データ!$E9:$AE9),基礎データ!$E9:$AE9,0))</f>
        <v/>
      </c>
    </row>
    <row r="11">
      <c r="A11">
        <f>基礎データ!A10</f>
        <v/>
      </c>
      <c r="B11" s="6">
        <f>基礎データ!B10*(1+前提・出典!$B$2)+前提・出典!$B$5</f>
        <v/>
      </c>
      <c r="C11" s="6">
        <f>B11+アメリカ!$B$6</f>
        <v/>
      </c>
      <c r="D11" s="6">
        <f>基礎データ!C10*(1+前提・出典!$B$2)</f>
        <v/>
      </c>
      <c r="E11" s="6">
        <f>基礎データ!D10*(1+前提・出典!$B$2)</f>
        <v/>
      </c>
      <c r="F11" s="6">
        <f>基礎データ!E10*(1+前提・出典!$B$2)+前提・出典!$B$3*(1+前提・出典!$B$4)</f>
        <v/>
      </c>
      <c r="G11" s="6">
        <f>基礎データ!O10*(1+前提・出典!$B$2)+前提・出典!$B$3*(1+前提・出典!$B$4)</f>
        <v/>
      </c>
      <c r="H11" s="6">
        <f>MIN(基礎データ!$E10:$AE10)*(1+前提・出典!$B$2)+前提・出典!$B$3*(1+前提・出典!$B$4)</f>
        <v/>
      </c>
      <c r="I11" s="9">
        <f>INDEX(基礎データ!$E$2:$AE$2,MATCH(MIN(基礎データ!$E10:$AE10),基礎データ!$E10:$AE10,0))</f>
        <v/>
      </c>
      <c r="J11" s="6">
        <f>MAX(基礎データ!$E10:$AE10)*(1+前提・出典!$B$2)+前提・出典!$B$3*(1+前提・出典!$B$4)</f>
        <v/>
      </c>
      <c r="K11" s="9">
        <f>INDEX(基礎データ!$E$2:$AE$2,MATCH(MAX(基礎データ!$E10:$AE10),基礎データ!$E10:$AE10,0))</f>
        <v/>
      </c>
    </row>
    <row r="12">
      <c r="A12">
        <f>基礎データ!A11</f>
        <v/>
      </c>
      <c r="B12" s="6">
        <f>基礎データ!B11*(1+前提・出典!$B$2)+前提・出典!$B$5</f>
        <v/>
      </c>
      <c r="C12" s="6">
        <f>B12+アメリカ!$B$6</f>
        <v/>
      </c>
      <c r="D12" s="6">
        <f>基礎データ!C11*(1+前提・出典!$B$2)</f>
        <v/>
      </c>
      <c r="E12" s="6">
        <f>基礎データ!D11*(1+前提・出典!$B$2)</f>
        <v/>
      </c>
      <c r="F12" s="6">
        <f>基礎データ!E11*(1+前提・出典!$B$2)+前提・出典!$B$3*(1+前提・出典!$B$4)</f>
        <v/>
      </c>
      <c r="G12" s="6">
        <f>基礎データ!O11*(1+前提・出典!$B$2)+前提・出典!$B$3*(1+前提・出典!$B$4)</f>
        <v/>
      </c>
      <c r="H12" s="6">
        <f>MIN(基礎データ!$E11:$AE11)*(1+前提・出典!$B$2)+前提・出典!$B$3*(1+前提・出典!$B$4)</f>
        <v/>
      </c>
      <c r="I12" s="9">
        <f>INDEX(基礎データ!$E$2:$AE$2,MATCH(MIN(基礎データ!$E11:$AE11),基礎データ!$E11:$AE11,0))</f>
        <v/>
      </c>
      <c r="J12" s="6">
        <f>MAX(基礎データ!$E11:$AE11)*(1+前提・出典!$B$2)+前提・出典!$B$3*(1+前提・出典!$B$4)</f>
        <v/>
      </c>
      <c r="K12" s="9">
        <f>INDEX(基礎データ!$E$2:$AE$2,MATCH(MAX(基礎データ!$E11:$AE11),基礎データ!$E11:$AE11,0))</f>
        <v/>
      </c>
    </row>
    <row r="13">
      <c r="A13">
        <f>基礎データ!A12</f>
        <v/>
      </c>
      <c r="B13" s="6">
        <f>基礎データ!B12*(1+前提・出典!$B$2)+前提・出典!$B$5</f>
        <v/>
      </c>
      <c r="C13" s="6">
        <f>B13+アメリカ!$B$6</f>
        <v/>
      </c>
      <c r="D13" s="6">
        <f>基礎データ!C12*(1+前提・出典!$B$2)</f>
        <v/>
      </c>
      <c r="E13" s="6">
        <f>基礎データ!D12*(1+前提・出典!$B$2)</f>
        <v/>
      </c>
      <c r="F13" s="6">
        <f>基礎データ!E12*(1+前提・出典!$B$2)+前提・出典!$B$3*(1+前提・出典!$B$4)</f>
        <v/>
      </c>
      <c r="G13" s="6">
        <f>基礎データ!O12*(1+前提・出典!$B$2)+前提・出典!$B$3*(1+前提・出典!$B$4)</f>
        <v/>
      </c>
      <c r="H13" s="6">
        <f>MIN(基礎データ!$E12:$AE12)*(1+前提・出典!$B$2)+前提・出典!$B$3*(1+前提・出典!$B$4)</f>
        <v/>
      </c>
      <c r="I13" s="9">
        <f>INDEX(基礎データ!$E$2:$AE$2,MATCH(MIN(基礎データ!$E12:$AE12),基礎データ!$E12:$AE12,0))</f>
        <v/>
      </c>
      <c r="J13" s="6">
        <f>MAX(基礎データ!$E12:$AE12)*(1+前提・出典!$B$2)+前提・出典!$B$3*(1+前提・出典!$B$4)</f>
        <v/>
      </c>
      <c r="K13" s="9">
        <f>INDEX(基礎データ!$E$2:$AE$2,MATCH(MAX(基礎データ!$E12:$AE12),基礎データ!$E12:$AE12,0))</f>
        <v/>
      </c>
    </row>
    <row r="14">
      <c r="A14">
        <f>基礎データ!A13</f>
        <v/>
      </c>
      <c r="B14" s="6">
        <f>基礎データ!B13*(1+前提・出典!$B$2)+前提・出典!$B$5</f>
        <v/>
      </c>
      <c r="C14" s="6">
        <f>B14+アメリカ!$B$6</f>
        <v/>
      </c>
      <c r="D14" s="6">
        <f>基礎データ!C13*(1+前提・出典!$B$2)</f>
        <v/>
      </c>
      <c r="E14" s="6">
        <f>基礎データ!D13*(1+前提・出典!$B$2)</f>
        <v/>
      </c>
      <c r="F14" s="6">
        <f>基礎データ!E13*(1+前提・出典!$B$2)+前提・出典!$B$3*(1+前提・出典!$B$4)</f>
        <v/>
      </c>
      <c r="G14" s="6">
        <f>基礎データ!O13*(1+前提・出典!$B$2)+前提・出典!$B$3*(1+前提・出典!$B$4)</f>
        <v/>
      </c>
      <c r="H14" s="6">
        <f>MIN(基礎データ!$E13:$AE13)*(1+前提・出典!$B$2)+前提・出典!$B$3*(1+前提・出典!$B$4)</f>
        <v/>
      </c>
      <c r="I14" s="9">
        <f>INDEX(基礎データ!$E$2:$AE$2,MATCH(MIN(基礎データ!$E13:$AE13),基礎データ!$E13:$AE13,0))</f>
        <v/>
      </c>
      <c r="J14" s="6">
        <f>MAX(基礎データ!$E13:$AE13)*(1+前提・出典!$B$2)+前提・出典!$B$3*(1+前提・出典!$B$4)</f>
        <v/>
      </c>
      <c r="K14" s="9">
        <f>INDEX(基礎データ!$E$2:$AE$2,MATCH(MAX(基礎データ!$E13:$AE13),基礎データ!$E13:$AE13,0))</f>
        <v/>
      </c>
    </row>
    <row r="15">
      <c r="A15">
        <f>基礎データ!A14</f>
        <v/>
      </c>
      <c r="B15" s="6">
        <f>基礎データ!B14*(1+前提・出典!$B$2)+前提・出典!$B$5</f>
        <v/>
      </c>
      <c r="C15" s="6">
        <f>B15+アメリカ!$B$6</f>
        <v/>
      </c>
      <c r="D15" s="6">
        <f>基礎データ!C14*(1+前提・出典!$B$2)</f>
        <v/>
      </c>
      <c r="E15" s="6">
        <f>基礎データ!D14*(1+前提・出典!$B$2)</f>
        <v/>
      </c>
      <c r="F15" s="6">
        <f>基礎データ!E14*(1+前提・出典!$B$2)+前提・出典!$B$3*(1+前提・出典!$B$4)</f>
        <v/>
      </c>
      <c r="G15" s="6">
        <f>基礎データ!O14*(1+前提・出典!$B$2)+前提・出典!$B$3*(1+前提・出典!$B$4)</f>
        <v/>
      </c>
      <c r="H15" s="6">
        <f>MIN(基礎データ!$E14:$AE14)*(1+前提・出典!$B$2)+前提・出典!$B$3*(1+前提・出典!$B$4)</f>
        <v/>
      </c>
      <c r="I15" s="9">
        <f>INDEX(基礎データ!$E$2:$AE$2,MATCH(MIN(基礎データ!$E14:$AE14),基礎データ!$E14:$AE14,0))</f>
        <v/>
      </c>
      <c r="J15" s="6">
        <f>MAX(基礎データ!$E14:$AE14)*(1+前提・出典!$B$2)+前提・出典!$B$3*(1+前提・出典!$B$4)</f>
        <v/>
      </c>
      <c r="K15" s="9">
        <f>INDEX(基礎データ!$E$2:$AE$2,MATCH(MAX(基礎データ!$E14:$AE14),基礎データ!$E14:$AE14,0))</f>
        <v/>
      </c>
    </row>
    <row r="16">
      <c r="A16">
        <f>基礎データ!A15</f>
        <v/>
      </c>
      <c r="B16" s="6">
        <f>基礎データ!B15*(1+前提・出典!$B$2)+前提・出典!$B$5</f>
        <v/>
      </c>
      <c r="C16" s="6">
        <f>B16+アメリカ!$B$6</f>
        <v/>
      </c>
      <c r="D16" s="6">
        <f>基礎データ!C15*(1+前提・出典!$B$2)</f>
        <v/>
      </c>
      <c r="E16" s="6">
        <f>基礎データ!D15*(1+前提・出典!$B$2)</f>
        <v/>
      </c>
      <c r="F16" s="6">
        <f>基礎データ!E15*(1+前提・出典!$B$2)+前提・出典!$B$3*(1+前提・出典!$B$4)</f>
        <v/>
      </c>
      <c r="G16" s="6">
        <f>基礎データ!O15*(1+前提・出典!$B$2)+前提・出典!$B$3*(1+前提・出典!$B$4)</f>
        <v/>
      </c>
      <c r="H16" s="6">
        <f>MIN(基礎データ!$E15:$AE15)*(1+前提・出典!$B$2)+前提・出典!$B$3*(1+前提・出典!$B$4)</f>
        <v/>
      </c>
      <c r="I16" s="9">
        <f>INDEX(基礎データ!$E$2:$AE$2,MATCH(MIN(基礎データ!$E15:$AE15),基礎データ!$E15:$AE15,0))</f>
        <v/>
      </c>
      <c r="J16" s="6">
        <f>MAX(基礎データ!$E15:$AE15)*(1+前提・出典!$B$2)+前提・出典!$B$3*(1+前提・出典!$B$4)</f>
        <v/>
      </c>
      <c r="K16" s="9">
        <f>INDEX(基礎データ!$E$2:$AE$2,MATCH(MAX(基礎データ!$E15:$AE15),基礎データ!$E15:$AE15,0))</f>
        <v/>
      </c>
    </row>
    <row r="17">
      <c r="A17">
        <f>基礎データ!A16</f>
        <v/>
      </c>
      <c r="B17" s="6">
        <f>基礎データ!B16*(1+前提・出典!$B$2)+前提・出典!$B$5</f>
        <v/>
      </c>
      <c r="C17" s="6">
        <f>B17+アメリカ!$B$6</f>
        <v/>
      </c>
      <c r="D17" s="6">
        <f>基礎データ!C16*(1+前提・出典!$B$2)</f>
        <v/>
      </c>
      <c r="E17" s="6">
        <f>基礎データ!D16*(1+前提・出典!$B$2)</f>
        <v/>
      </c>
      <c r="F17" s="6">
        <f>基礎データ!E16*(1+前提・出典!$B$2)+前提・出典!$B$3*(1+前提・出典!$B$4)</f>
        <v/>
      </c>
      <c r="G17" s="6">
        <f>基礎データ!O16*(1+前提・出典!$B$2)+前提・出典!$B$3*(1+前提・出典!$B$4)</f>
        <v/>
      </c>
      <c r="H17" s="6">
        <f>MIN(基礎データ!$E16:$AE16)*(1+前提・出典!$B$2)+前提・出典!$B$3*(1+前提・出典!$B$4)</f>
        <v/>
      </c>
      <c r="I17" s="9">
        <f>INDEX(基礎データ!$E$2:$AE$2,MATCH(MIN(基礎データ!$E16:$AE16),基礎データ!$E16:$AE16,0))</f>
        <v/>
      </c>
      <c r="J17" s="6">
        <f>MAX(基礎データ!$E16:$AE16)*(1+前提・出典!$B$2)+前提・出典!$B$3*(1+前提・出典!$B$4)</f>
        <v/>
      </c>
      <c r="K17" s="9">
        <f>INDEX(基礎データ!$E$2:$AE$2,MATCH(MAX(基礎データ!$E16:$AE16),基礎データ!$E16:$AE16,0))</f>
        <v/>
      </c>
    </row>
    <row r="18">
      <c r="A18">
        <f>基礎データ!A17</f>
        <v/>
      </c>
      <c r="B18" s="6">
        <f>基礎データ!B17*(1+前提・出典!$B$2)+前提・出典!$B$5</f>
        <v/>
      </c>
      <c r="C18" s="6">
        <f>B18+アメリカ!$B$6</f>
        <v/>
      </c>
      <c r="D18" s="6">
        <f>基礎データ!C17*(1+前提・出典!$B$2)</f>
        <v/>
      </c>
      <c r="E18" s="6">
        <f>基礎データ!D17*(1+前提・出典!$B$2)</f>
        <v/>
      </c>
      <c r="F18" s="6">
        <f>基礎データ!E17*(1+前提・出典!$B$2)+前提・出典!$B$3*(1+前提・出典!$B$4)</f>
        <v/>
      </c>
      <c r="G18" s="6">
        <f>基礎データ!O17*(1+前提・出典!$B$2)+前提・出典!$B$3*(1+前提・出典!$B$4)</f>
        <v/>
      </c>
      <c r="H18" s="6">
        <f>MIN(基礎データ!$E17:$AE17)*(1+前提・出典!$B$2)+前提・出典!$B$3*(1+前提・出典!$B$4)</f>
        <v/>
      </c>
      <c r="I18" s="9">
        <f>INDEX(基礎データ!$E$2:$AE$2,MATCH(MIN(基礎データ!$E17:$AE17),基礎データ!$E17:$AE17,0))</f>
        <v/>
      </c>
      <c r="J18" s="6">
        <f>MAX(基礎データ!$E17:$AE17)*(1+前提・出典!$B$2)+前提・出典!$B$3*(1+前提・出典!$B$4)</f>
        <v/>
      </c>
      <c r="K18" s="9">
        <f>INDEX(基礎データ!$E$2:$AE$2,MATCH(MAX(基礎データ!$E17:$AE17),基礎データ!$E17:$AE17,0))</f>
        <v/>
      </c>
    </row>
    <row r="19">
      <c r="A19">
        <f>基礎データ!A18</f>
        <v/>
      </c>
      <c r="B19" s="6">
        <f>基礎データ!B18*(1+前提・出典!$B$2)+前提・出典!$B$5</f>
        <v/>
      </c>
      <c r="C19" s="6">
        <f>B19+アメリカ!$B$6</f>
        <v/>
      </c>
      <c r="D19" s="6">
        <f>基礎データ!C18*(1+前提・出典!$B$2)</f>
        <v/>
      </c>
      <c r="E19" s="6">
        <f>基礎データ!D18*(1+前提・出典!$B$2)</f>
        <v/>
      </c>
      <c r="F19" s="6">
        <f>基礎データ!E18*(1+前提・出典!$B$2)+前提・出典!$B$3*(1+前提・出典!$B$4)</f>
        <v/>
      </c>
      <c r="G19" s="6">
        <f>基礎データ!O18*(1+前提・出典!$B$2)+前提・出典!$B$3*(1+前提・出典!$B$4)</f>
        <v/>
      </c>
      <c r="H19" s="6">
        <f>MIN(基礎データ!$E18:$AE18)*(1+前提・出典!$B$2)+前提・出典!$B$3*(1+前提・出典!$B$4)</f>
        <v/>
      </c>
      <c r="I19" s="9">
        <f>INDEX(基礎データ!$E$2:$AE$2,MATCH(MIN(基礎データ!$E18:$AE18),基礎データ!$E18:$AE18,0))</f>
        <v/>
      </c>
      <c r="J19" s="6">
        <f>MAX(基礎データ!$E18:$AE18)*(1+前提・出典!$B$2)+前提・出典!$B$3*(1+前提・出典!$B$4)</f>
        <v/>
      </c>
      <c r="K19" s="9">
        <f>INDEX(基礎データ!$E$2:$AE$2,MATCH(MAX(基礎データ!$E18:$AE18),基礎データ!$E18:$AE18,0))</f>
        <v/>
      </c>
    </row>
    <row r="20">
      <c r="A20">
        <f>基礎データ!A19</f>
        <v/>
      </c>
      <c r="B20" s="6">
        <f>基礎データ!B19*(1+前提・出典!$B$2)+前提・出典!$B$5</f>
        <v/>
      </c>
      <c r="C20" s="6">
        <f>B20+アメリカ!$B$6</f>
        <v/>
      </c>
      <c r="D20" s="6">
        <f>基礎データ!C19*(1+前提・出典!$B$2)</f>
        <v/>
      </c>
      <c r="E20" s="6">
        <f>基礎データ!D19*(1+前提・出典!$B$2)</f>
        <v/>
      </c>
      <c r="F20" s="6">
        <f>基礎データ!E19*(1+前提・出典!$B$2)+前提・出典!$B$3*(1+前提・出典!$B$4)</f>
        <v/>
      </c>
      <c r="G20" s="6">
        <f>基礎データ!O19*(1+前提・出典!$B$2)+前提・出典!$B$3*(1+前提・出典!$B$4)</f>
        <v/>
      </c>
      <c r="H20" s="6">
        <f>MIN(基礎データ!$E19:$AE19)*(1+前提・出典!$B$2)+前提・出典!$B$3*(1+前提・出典!$B$4)</f>
        <v/>
      </c>
      <c r="I20" s="9">
        <f>INDEX(基礎データ!$E$2:$AE$2,MATCH(MIN(基礎データ!$E19:$AE19),基礎データ!$E19:$AE19,0))</f>
        <v/>
      </c>
      <c r="J20" s="6">
        <f>MAX(基礎データ!$E19:$AE19)*(1+前提・出典!$B$2)+前提・出典!$B$3*(1+前提・出典!$B$4)</f>
        <v/>
      </c>
      <c r="K20" s="9">
        <f>INDEX(基礎データ!$E$2:$AE$2,MATCH(MAX(基礎データ!$E19:$AE19),基礎データ!$E19:$AE19,0))</f>
        <v/>
      </c>
    </row>
    <row r="21">
      <c r="A21">
        <f>基礎データ!A20</f>
        <v/>
      </c>
      <c r="B21" s="6">
        <f>基礎データ!B20*(1+前提・出典!$B$2)+前提・出典!$B$5</f>
        <v/>
      </c>
      <c r="C21" s="6">
        <f>B21+アメリカ!$B$6</f>
        <v/>
      </c>
      <c r="D21" s="6">
        <f>基礎データ!C20*(1+前提・出典!$B$2)</f>
        <v/>
      </c>
      <c r="E21" s="6">
        <f>基礎データ!D20*(1+前提・出典!$B$2)</f>
        <v/>
      </c>
      <c r="F21" s="6">
        <f>基礎データ!E20*(1+前提・出典!$B$2)+前提・出典!$B$3*(1+前提・出典!$B$4)</f>
        <v/>
      </c>
      <c r="G21" s="6">
        <f>基礎データ!O20*(1+前提・出典!$B$2)+前提・出典!$B$3*(1+前提・出典!$B$4)</f>
        <v/>
      </c>
      <c r="H21" s="6">
        <f>MIN(基礎データ!$E20:$AE20)*(1+前提・出典!$B$2)+前提・出典!$B$3*(1+前提・出典!$B$4)</f>
        <v/>
      </c>
      <c r="I21" s="9">
        <f>INDEX(基礎データ!$E$2:$AE$2,MATCH(MIN(基礎データ!$E20:$AE20),基礎データ!$E20:$AE20,0))</f>
        <v/>
      </c>
      <c r="J21" s="6">
        <f>MAX(基礎データ!$E20:$AE20)*(1+前提・出典!$B$2)+前提・出典!$B$3*(1+前提・出典!$B$4)</f>
        <v/>
      </c>
      <c r="K21" s="9">
        <f>INDEX(基礎データ!$E$2:$AE$2,MATCH(MAX(基礎データ!$E20:$AE20),基礎データ!$E20:$AE20,0))</f>
        <v/>
      </c>
    </row>
    <row r="22">
      <c r="A22">
        <f>基礎データ!A21</f>
        <v/>
      </c>
      <c r="B22" s="6">
        <f>基礎データ!B21*(1+前提・出典!$B$2)+前提・出典!$B$5</f>
        <v/>
      </c>
      <c r="C22" s="6">
        <f>B22+アメリカ!$B$6</f>
        <v/>
      </c>
      <c r="D22" s="6">
        <f>基礎データ!C21*(1+前提・出典!$B$2)</f>
        <v/>
      </c>
      <c r="E22" s="6">
        <f>基礎データ!D21*(1+前提・出典!$B$2)</f>
        <v/>
      </c>
      <c r="F22" s="6">
        <f>基礎データ!E21*(1+前提・出典!$B$2)+前提・出典!$B$3*(1+前提・出典!$B$4)</f>
        <v/>
      </c>
      <c r="G22" s="6">
        <f>基礎データ!O21*(1+前提・出典!$B$2)+前提・出典!$B$3*(1+前提・出典!$B$4)</f>
        <v/>
      </c>
      <c r="H22" s="6">
        <f>MIN(基礎データ!$E21:$AE21)*(1+前提・出典!$B$2)+前提・出典!$B$3*(1+前提・出典!$B$4)</f>
        <v/>
      </c>
      <c r="I22" s="9">
        <f>INDEX(基礎データ!$E$2:$AE$2,MATCH(MIN(基礎データ!$E21:$AE21),基礎データ!$E21:$AE21,0))</f>
        <v/>
      </c>
      <c r="J22" s="6">
        <f>MAX(基礎データ!$E21:$AE21)*(1+前提・出典!$B$2)+前提・出典!$B$3*(1+前提・出典!$B$4)</f>
        <v/>
      </c>
      <c r="K22" s="9">
        <f>INDEX(基礎データ!$E$2:$AE$2,MATCH(MAX(基礎データ!$E21:$AE21),基礎データ!$E21:$AE21,0))</f>
        <v/>
      </c>
    </row>
    <row r="23">
      <c r="A23">
        <f>基礎データ!A22</f>
        <v/>
      </c>
      <c r="B23" s="6">
        <f>基礎データ!B22*(1+前提・出典!$B$2)+前提・出典!$B$5</f>
        <v/>
      </c>
      <c r="C23" s="6">
        <f>B23+アメリカ!$B$6</f>
        <v/>
      </c>
      <c r="D23" s="6">
        <f>基礎データ!C22*(1+前提・出典!$B$2)</f>
        <v/>
      </c>
      <c r="E23" s="6">
        <f>基礎データ!D22*(1+前提・出典!$B$2)</f>
        <v/>
      </c>
      <c r="F23" s="6">
        <f>基礎データ!E22*(1+前提・出典!$B$2)+前提・出典!$B$3*(1+前提・出典!$B$4)</f>
        <v/>
      </c>
      <c r="G23" s="6">
        <f>基礎データ!O22*(1+前提・出典!$B$2)+前提・出典!$B$3*(1+前提・出典!$B$4)</f>
        <v/>
      </c>
      <c r="H23" s="6">
        <f>MIN(基礎データ!$E22:$AE22)*(1+前提・出典!$B$2)+前提・出典!$B$3*(1+前提・出典!$B$4)</f>
        <v/>
      </c>
      <c r="I23" s="9">
        <f>INDEX(基礎データ!$E$2:$AE$2,MATCH(MIN(基礎データ!$E22:$AE22),基礎データ!$E22:$AE22,0))</f>
        <v/>
      </c>
      <c r="J23" s="6">
        <f>MAX(基礎データ!$E22:$AE22)*(1+前提・出典!$B$2)+前提・出典!$B$3*(1+前提・出典!$B$4)</f>
        <v/>
      </c>
      <c r="K23" s="9">
        <f>INDEX(基礎データ!$E$2:$AE$2,MATCH(MAX(基礎データ!$E22:$AE22),基礎データ!$E22:$AE22,0))</f>
        <v/>
      </c>
    </row>
    <row r="24">
      <c r="A24">
        <f>基礎データ!A23</f>
        <v/>
      </c>
      <c r="B24" s="6">
        <f>基礎データ!B23*(1+前提・出典!$B$2)+前提・出典!$B$5</f>
        <v/>
      </c>
      <c r="C24" s="6">
        <f>B24+アメリカ!$B$6</f>
        <v/>
      </c>
      <c r="D24" s="6">
        <f>基礎データ!C23*(1+前提・出典!$B$2)</f>
        <v/>
      </c>
      <c r="E24" s="6">
        <f>基礎データ!D23*(1+前提・出典!$B$2)</f>
        <v/>
      </c>
      <c r="F24" s="6">
        <f>基礎データ!E23*(1+前提・出典!$B$2)+前提・出典!$B$3*(1+前提・出典!$B$4)</f>
        <v/>
      </c>
      <c r="G24" s="6">
        <f>基礎データ!O23*(1+前提・出典!$B$2)+前提・出典!$B$3*(1+前提・出典!$B$4)</f>
        <v/>
      </c>
      <c r="H24" s="6">
        <f>MIN(基礎データ!$E23:$AE23)*(1+前提・出典!$B$2)+前提・出典!$B$3*(1+前提・出典!$B$4)</f>
        <v/>
      </c>
      <c r="I24" s="9">
        <f>INDEX(基礎データ!$E$2:$AE$2,MATCH(MIN(基礎データ!$E23:$AE23),基礎データ!$E23:$AE23,0))</f>
        <v/>
      </c>
      <c r="J24" s="6">
        <f>MAX(基礎データ!$E23:$AE23)*(1+前提・出典!$B$2)+前提・出典!$B$3*(1+前提・出典!$B$4)</f>
        <v/>
      </c>
      <c r="K24" s="9">
        <f>INDEX(基礎データ!$E$2:$AE$2,MATCH(MAX(基礎データ!$E23:$AE23),基礎データ!$E23:$AE23,0))</f>
        <v/>
      </c>
    </row>
    <row r="25">
      <c r="A25">
        <f>基礎データ!A24</f>
        <v/>
      </c>
      <c r="B25" s="6">
        <f>基礎データ!B24*(1+前提・出典!$B$2)+前提・出典!$B$5</f>
        <v/>
      </c>
      <c r="C25" s="6">
        <f>B25+アメリカ!$B$6</f>
        <v/>
      </c>
      <c r="D25" s="6">
        <f>基礎データ!C24*(1+前提・出典!$B$2)</f>
        <v/>
      </c>
      <c r="E25" s="6">
        <f>基礎データ!D24*(1+前提・出典!$B$2)</f>
        <v/>
      </c>
      <c r="F25" s="6">
        <f>基礎データ!E24*(1+前提・出典!$B$2)+前提・出典!$B$3*(1+前提・出典!$B$4)</f>
        <v/>
      </c>
      <c r="G25" s="6">
        <f>基礎データ!O24*(1+前提・出典!$B$2)+前提・出典!$B$3*(1+前提・出典!$B$4)</f>
        <v/>
      </c>
      <c r="H25" s="6">
        <f>MIN(基礎データ!$E24:$AE24)*(1+前提・出典!$B$2)+前提・出典!$B$3*(1+前提・出典!$B$4)</f>
        <v/>
      </c>
      <c r="I25" s="9">
        <f>INDEX(基礎データ!$E$2:$AE$2,MATCH(MIN(基礎データ!$E24:$AE24),基礎データ!$E24:$AE24,0))</f>
        <v/>
      </c>
      <c r="J25" s="6">
        <f>MAX(基礎データ!$E24:$AE24)*(1+前提・出典!$B$2)+前提・出典!$B$3*(1+前提・出典!$B$4)</f>
        <v/>
      </c>
      <c r="K25" s="9">
        <f>INDEX(基礎データ!$E$2:$AE$2,MATCH(MAX(基礎データ!$E24:$AE24),基礎データ!$E24:$AE24,0))</f>
        <v/>
      </c>
    </row>
    <row r="26">
      <c r="A26">
        <f>基礎データ!A25</f>
        <v/>
      </c>
      <c r="B26" s="6">
        <f>基礎データ!B25*(1+前提・出典!$B$2)+前提・出典!$B$5</f>
        <v/>
      </c>
      <c r="C26" s="6">
        <f>B26+アメリカ!$B$6</f>
        <v/>
      </c>
      <c r="D26" s="6">
        <f>基礎データ!C25*(1+前提・出典!$B$2)</f>
        <v/>
      </c>
      <c r="E26" s="6">
        <f>基礎データ!D25*(1+前提・出典!$B$2)</f>
        <v/>
      </c>
      <c r="F26" s="6">
        <f>基礎データ!E25*(1+前提・出典!$B$2)+前提・出典!$B$3*(1+前提・出典!$B$4)</f>
        <v/>
      </c>
      <c r="G26" s="6">
        <f>基礎データ!O25*(1+前提・出典!$B$2)+前提・出典!$B$3*(1+前提・出典!$B$4)</f>
        <v/>
      </c>
      <c r="H26" s="6">
        <f>MIN(基礎データ!$E25:$AE25)*(1+前提・出典!$B$2)+前提・出典!$B$3*(1+前提・出典!$B$4)</f>
        <v/>
      </c>
      <c r="I26" s="9">
        <f>INDEX(基礎データ!$E$2:$AE$2,MATCH(MIN(基礎データ!$E25:$AE25),基礎データ!$E25:$AE25,0))</f>
        <v/>
      </c>
      <c r="J26" s="6">
        <f>MAX(基礎データ!$E25:$AE25)*(1+前提・出典!$B$2)+前提・出典!$B$3*(1+前提・出典!$B$4)</f>
        <v/>
      </c>
      <c r="K26" s="9">
        <f>INDEX(基礎データ!$E$2:$AE$2,MATCH(MAX(基礎データ!$E25:$AE25),基礎データ!$E25:$AE25,0))</f>
        <v/>
      </c>
    </row>
    <row r="27">
      <c r="A27">
        <f>基礎データ!A26</f>
        <v/>
      </c>
      <c r="B27" s="6">
        <f>基礎データ!B26*(1+前提・出典!$B$2)+前提・出典!$B$5</f>
        <v/>
      </c>
      <c r="C27" s="6">
        <f>B27+アメリカ!$B$6</f>
        <v/>
      </c>
      <c r="D27" s="6">
        <f>基礎データ!C26*(1+前提・出典!$B$2)</f>
        <v/>
      </c>
      <c r="E27" s="6">
        <f>基礎データ!D26*(1+前提・出典!$B$2)</f>
        <v/>
      </c>
      <c r="F27" s="6">
        <f>基礎データ!E26*(1+前提・出典!$B$2)+前提・出典!$B$3*(1+前提・出典!$B$4)</f>
        <v/>
      </c>
      <c r="G27" s="6">
        <f>基礎データ!O26*(1+前提・出典!$B$2)+前提・出典!$B$3*(1+前提・出典!$B$4)</f>
        <v/>
      </c>
      <c r="H27" s="6">
        <f>MIN(基礎データ!$E26:$AE26)*(1+前提・出典!$B$2)+前提・出典!$B$3*(1+前提・出典!$B$4)</f>
        <v/>
      </c>
      <c r="I27" s="9">
        <f>INDEX(基礎データ!$E$2:$AE$2,MATCH(MIN(基礎データ!$E26:$AE26),基礎データ!$E26:$AE26,0))</f>
        <v/>
      </c>
      <c r="J27" s="6">
        <f>MAX(基礎データ!$E26:$AE26)*(1+前提・出典!$B$2)+前提・出典!$B$3*(1+前提・出典!$B$4)</f>
        <v/>
      </c>
      <c r="K27" s="9">
        <f>INDEX(基礎データ!$E$2:$AE$2,MATCH(MAX(基礎データ!$E26:$AE26),基礎データ!$E26:$AE26,0))</f>
        <v/>
      </c>
    </row>
    <row r="28">
      <c r="A28">
        <f>基礎データ!A27</f>
        <v/>
      </c>
      <c r="B28" s="6">
        <f>基礎データ!B27*(1+前提・出典!$B$2)+前提・出典!$B$5</f>
        <v/>
      </c>
      <c r="C28" s="6">
        <f>B28+アメリカ!$B$6</f>
        <v/>
      </c>
      <c r="D28" s="6">
        <f>基礎データ!C27*(1+前提・出典!$B$2)</f>
        <v/>
      </c>
      <c r="E28" s="6">
        <f>基礎データ!D27*(1+前提・出典!$B$2)</f>
        <v/>
      </c>
      <c r="F28" s="6">
        <f>基礎データ!E27*(1+前提・出典!$B$2)+前提・出典!$B$3*(1+前提・出典!$B$4)</f>
        <v/>
      </c>
      <c r="G28" s="6">
        <f>基礎データ!O27*(1+前提・出典!$B$2)+前提・出典!$B$3*(1+前提・出典!$B$4)</f>
        <v/>
      </c>
      <c r="H28" s="6">
        <f>MIN(基礎データ!$E27:$AE27)*(1+前提・出典!$B$2)+前提・出典!$B$3*(1+前提・出典!$B$4)</f>
        <v/>
      </c>
      <c r="I28" s="9">
        <f>INDEX(基礎データ!$E$2:$AE$2,MATCH(MIN(基礎データ!$E27:$AE27),基礎データ!$E27:$AE27,0))</f>
        <v/>
      </c>
      <c r="J28" s="6">
        <f>MAX(基礎データ!$E27:$AE27)*(1+前提・出典!$B$2)+前提・出典!$B$3*(1+前提・出典!$B$4)</f>
        <v/>
      </c>
      <c r="K28" s="9">
        <f>INDEX(基礎データ!$E$2:$AE$2,MATCH(MAX(基礎データ!$E27:$AE27),基礎データ!$E27:$AE27,0))</f>
        <v/>
      </c>
    </row>
    <row r="29">
      <c r="A29">
        <f>基礎データ!A28</f>
        <v/>
      </c>
      <c r="B29" s="6">
        <f>基礎データ!B28*(1+前提・出典!$B$2)+前提・出典!$B$5</f>
        <v/>
      </c>
      <c r="C29" s="6">
        <f>B29+アメリカ!$B$6</f>
        <v/>
      </c>
      <c r="D29" s="6">
        <f>基礎データ!C28*(1+前提・出典!$B$2)</f>
        <v/>
      </c>
      <c r="E29" s="6">
        <f>基礎データ!D28*(1+前提・出典!$B$2)</f>
        <v/>
      </c>
      <c r="F29" s="6">
        <f>基礎データ!E28*(1+前提・出典!$B$2)+前提・出典!$B$3*(1+前提・出典!$B$4)</f>
        <v/>
      </c>
      <c r="G29" s="6">
        <f>基礎データ!O28*(1+前提・出典!$B$2)+前提・出典!$B$3*(1+前提・出典!$B$4)</f>
        <v/>
      </c>
      <c r="H29" s="6">
        <f>MIN(基礎データ!$E28:$AE28)*(1+前提・出典!$B$2)+前提・出典!$B$3*(1+前提・出典!$B$4)</f>
        <v/>
      </c>
      <c r="I29" s="9">
        <f>INDEX(基礎データ!$E$2:$AE$2,MATCH(MIN(基礎データ!$E28:$AE28),基礎データ!$E28:$AE28,0))</f>
        <v/>
      </c>
      <c r="J29" s="6">
        <f>MAX(基礎データ!$E28:$AE28)*(1+前提・出典!$B$2)+前提・出典!$B$3*(1+前提・出典!$B$4)</f>
        <v/>
      </c>
      <c r="K29" s="9">
        <f>INDEX(基礎データ!$E$2:$AE$2,MATCH(MAX(基礎データ!$E28:$AE28),基礎データ!$E28:$AE28,0))</f>
        <v/>
      </c>
    </row>
    <row r="30">
      <c r="A30">
        <f>基礎データ!A29</f>
        <v/>
      </c>
      <c r="B30" s="6">
        <f>基礎データ!B29*(1+前提・出典!$B$2)+前提・出典!$B$5</f>
        <v/>
      </c>
      <c r="C30" s="6">
        <f>B30+アメリカ!$B$6</f>
        <v/>
      </c>
      <c r="D30" s="6">
        <f>基礎データ!C29*(1+前提・出典!$B$2)</f>
        <v/>
      </c>
      <c r="E30" s="6">
        <f>基礎データ!D29*(1+前提・出典!$B$2)</f>
        <v/>
      </c>
      <c r="F30" s="6">
        <f>基礎データ!E29*(1+前提・出典!$B$2)+前提・出典!$B$3*(1+前提・出典!$B$4)</f>
        <v/>
      </c>
      <c r="G30" s="6">
        <f>基礎データ!O29*(1+前提・出典!$B$2)+前提・出典!$B$3*(1+前提・出典!$B$4)</f>
        <v/>
      </c>
      <c r="H30" s="6">
        <f>MIN(基礎データ!$E29:$AE29)*(1+前提・出典!$B$2)+前提・出典!$B$3*(1+前提・出典!$B$4)</f>
        <v/>
      </c>
      <c r="I30" s="9">
        <f>INDEX(基礎データ!$E$2:$AE$2,MATCH(MIN(基礎データ!$E29:$AE29),基礎データ!$E29:$AE29,0))</f>
        <v/>
      </c>
      <c r="J30" s="6">
        <f>MAX(基礎データ!$E29:$AE29)*(1+前提・出典!$B$2)+前提・出典!$B$3*(1+前提・出典!$B$4)</f>
        <v/>
      </c>
      <c r="K30" s="9">
        <f>INDEX(基礎データ!$E$2:$AE$2,MATCH(MAX(基礎データ!$E29:$AE29),基礎データ!$E29:$AE29,0))</f>
        <v/>
      </c>
    </row>
    <row r="31">
      <c r="A31">
        <f>基礎データ!A30</f>
        <v/>
      </c>
      <c r="B31" s="6">
        <f>基礎データ!B30*(1+前提・出典!$B$2)+前提・出典!$B$5</f>
        <v/>
      </c>
      <c r="C31" s="6">
        <f>B31+アメリカ!$B$6</f>
        <v/>
      </c>
      <c r="D31" s="6">
        <f>基礎データ!C30*(1+前提・出典!$B$2)</f>
        <v/>
      </c>
      <c r="E31" s="6">
        <f>基礎データ!D30*(1+前提・出典!$B$2)</f>
        <v/>
      </c>
      <c r="F31" s="6">
        <f>基礎データ!E30*(1+前提・出典!$B$2)+前提・出典!$B$3*(1+前提・出典!$B$4)</f>
        <v/>
      </c>
      <c r="G31" s="6">
        <f>基礎データ!O30*(1+前提・出典!$B$2)+前提・出典!$B$3*(1+前提・出典!$B$4)</f>
        <v/>
      </c>
      <c r="H31" s="6">
        <f>MIN(基礎データ!$E30:$AE30)*(1+前提・出典!$B$2)+前提・出典!$B$3*(1+前提・出典!$B$4)</f>
        <v/>
      </c>
      <c r="I31" s="9">
        <f>INDEX(基礎データ!$E$2:$AE$2,MATCH(MIN(基礎データ!$E30:$AE30),基礎データ!$E30:$AE30,0))</f>
        <v/>
      </c>
      <c r="J31" s="6">
        <f>MAX(基礎データ!$E30:$AE30)*(1+前提・出典!$B$2)+前提・出典!$B$3*(1+前提・出典!$B$4)</f>
        <v/>
      </c>
      <c r="K31" s="9">
        <f>INDEX(基礎データ!$E$2:$AE$2,MATCH(MAX(基礎データ!$E30:$AE30),基礎データ!$E30:$AE30,0))</f>
        <v/>
      </c>
    </row>
    <row r="32">
      <c r="A32">
        <f>基礎データ!A31</f>
        <v/>
      </c>
      <c r="B32" s="6">
        <f>基礎データ!B31*(1+前提・出典!$B$2)+前提・出典!$B$5</f>
        <v/>
      </c>
      <c r="C32" s="6">
        <f>B32+アメリカ!$B$6</f>
        <v/>
      </c>
      <c r="D32" s="6">
        <f>基礎データ!C31*(1+前提・出典!$B$2)</f>
        <v/>
      </c>
      <c r="E32" s="6">
        <f>基礎データ!D31*(1+前提・出典!$B$2)</f>
        <v/>
      </c>
      <c r="F32" s="6">
        <f>基礎データ!E31*(1+前提・出典!$B$2)+前提・出典!$B$3*(1+前提・出典!$B$4)</f>
        <v/>
      </c>
      <c r="G32" s="6">
        <f>基礎データ!O31*(1+前提・出典!$B$2)+前提・出典!$B$3*(1+前提・出典!$B$4)</f>
        <v/>
      </c>
      <c r="H32" s="6">
        <f>MIN(基礎データ!$E31:$AE31)*(1+前提・出典!$B$2)+前提・出典!$B$3*(1+前提・出典!$B$4)</f>
        <v/>
      </c>
      <c r="I32" s="9">
        <f>INDEX(基礎データ!$E$2:$AE$2,MATCH(MIN(基礎データ!$E31:$AE31),基礎データ!$E31:$AE31,0))</f>
        <v/>
      </c>
      <c r="J32" s="6">
        <f>MAX(基礎データ!$E31:$AE31)*(1+前提・出典!$B$2)+前提・出典!$B$3*(1+前提・出典!$B$4)</f>
        <v/>
      </c>
      <c r="K32" s="9">
        <f>INDEX(基礎データ!$E$2:$AE$2,MATCH(MAX(基礎データ!$E31:$AE31),基礎データ!$E31:$AE31,0))</f>
        <v/>
      </c>
    </row>
    <row r="33">
      <c r="A33">
        <f>基礎データ!A32</f>
        <v/>
      </c>
      <c r="B33" s="6">
        <f>基礎データ!B32*(1+前提・出典!$B$2)+前提・出典!$B$5</f>
        <v/>
      </c>
      <c r="C33" s="6">
        <f>B33+アメリカ!$B$6</f>
        <v/>
      </c>
      <c r="D33" s="6">
        <f>基礎データ!C32*(1+前提・出典!$B$2)</f>
        <v/>
      </c>
      <c r="E33" s="6">
        <f>基礎データ!D32*(1+前提・出典!$B$2)</f>
        <v/>
      </c>
      <c r="F33" s="6">
        <f>基礎データ!E32*(1+前提・出典!$B$2)+前提・出典!$B$3*(1+前提・出典!$B$4)</f>
        <v/>
      </c>
      <c r="G33" s="6">
        <f>基礎データ!O32*(1+前提・出典!$B$2)+前提・出典!$B$3*(1+前提・出典!$B$4)</f>
        <v/>
      </c>
      <c r="H33" s="6">
        <f>MIN(基礎データ!$E32:$AE32)*(1+前提・出典!$B$2)+前提・出典!$B$3*(1+前提・出典!$B$4)</f>
        <v/>
      </c>
      <c r="I33" s="9">
        <f>INDEX(基礎データ!$E$2:$AE$2,MATCH(MIN(基礎データ!$E32:$AE32),基礎データ!$E32:$AE32,0))</f>
        <v/>
      </c>
      <c r="J33" s="6">
        <f>MAX(基礎データ!$E32:$AE32)*(1+前提・出典!$B$2)+前提・出典!$B$3*(1+前提・出典!$B$4)</f>
        <v/>
      </c>
      <c r="K33" s="9">
        <f>INDEX(基礎データ!$E$2:$AE$2,MATCH(MAX(基礎データ!$E32:$AE32),基礎データ!$E32:$AE32,0))</f>
        <v/>
      </c>
    </row>
    <row r="34">
      <c r="A34">
        <f>基礎データ!A33</f>
        <v/>
      </c>
      <c r="B34" s="6">
        <f>基礎データ!B33*(1+前提・出典!$B$2)+前提・出典!$B$5</f>
        <v/>
      </c>
      <c r="C34" s="6">
        <f>B34+アメリカ!$B$6</f>
        <v/>
      </c>
      <c r="D34" s="6">
        <f>基礎データ!C33*(1+前提・出典!$B$2)</f>
        <v/>
      </c>
      <c r="E34" s="6">
        <f>基礎データ!D33*(1+前提・出典!$B$2)</f>
        <v/>
      </c>
      <c r="F34" s="6">
        <f>基礎データ!E33*(1+前提・出典!$B$2)+前提・出典!$B$3*(1+前提・出典!$B$4)</f>
        <v/>
      </c>
      <c r="G34" s="6">
        <f>基礎データ!O33*(1+前提・出典!$B$2)+前提・出典!$B$3*(1+前提・出典!$B$4)</f>
        <v/>
      </c>
      <c r="H34" s="6">
        <f>MIN(基礎データ!$E33:$AE33)*(1+前提・出典!$B$2)+前提・出典!$B$3*(1+前提・出典!$B$4)</f>
        <v/>
      </c>
      <c r="I34" s="9">
        <f>INDEX(基礎データ!$E$2:$AE$2,MATCH(MIN(基礎データ!$E33:$AE33),基礎データ!$E33:$AE33,0))</f>
        <v/>
      </c>
      <c r="J34" s="6">
        <f>MAX(基礎データ!$E33:$AE33)*(1+前提・出典!$B$2)+前提・出典!$B$3*(1+前提・出典!$B$4)</f>
        <v/>
      </c>
      <c r="K34" s="9">
        <f>INDEX(基礎データ!$E$2:$AE$2,MATCH(MAX(基礎データ!$E33:$AE33),基礎データ!$E33:$AE33,0))</f>
        <v/>
      </c>
    </row>
    <row r="35">
      <c r="A35">
        <f>基礎データ!A34</f>
        <v/>
      </c>
      <c r="B35" s="6">
        <f>基礎データ!B34*(1+前提・出典!$B$2)+前提・出典!$B$5</f>
        <v/>
      </c>
      <c r="C35" s="6">
        <f>B35+アメリカ!$B$6</f>
        <v/>
      </c>
      <c r="D35" s="6">
        <f>基礎データ!C34*(1+前提・出典!$B$2)</f>
        <v/>
      </c>
      <c r="E35" s="6">
        <f>基礎データ!D34*(1+前提・出典!$B$2)</f>
        <v/>
      </c>
      <c r="F35" s="6">
        <f>基礎データ!E34*(1+前提・出典!$B$2)+前提・出典!$B$3*(1+前提・出典!$B$4)</f>
        <v/>
      </c>
      <c r="G35" s="6">
        <f>基礎データ!O34*(1+前提・出典!$B$2)+前提・出典!$B$3*(1+前提・出典!$B$4)</f>
        <v/>
      </c>
      <c r="H35" s="6">
        <f>MIN(基礎データ!$E34:$AE34)*(1+前提・出典!$B$2)+前提・出典!$B$3*(1+前提・出典!$B$4)</f>
        <v/>
      </c>
      <c r="I35" s="9">
        <f>INDEX(基礎データ!$E$2:$AE$2,MATCH(MIN(基礎データ!$E34:$AE34),基礎データ!$E34:$AE34,0))</f>
        <v/>
      </c>
      <c r="J35" s="6">
        <f>MAX(基礎データ!$E34:$AE34)*(1+前提・出典!$B$2)+前提・出典!$B$3*(1+前提・出典!$B$4)</f>
        <v/>
      </c>
      <c r="K35" s="9">
        <f>INDEX(基礎データ!$E$2:$AE$2,MATCH(MAX(基礎データ!$E34:$AE34),基礎データ!$E34:$AE34,0))</f>
        <v/>
      </c>
    </row>
    <row r="36">
      <c r="A36">
        <f>基礎データ!A35</f>
        <v/>
      </c>
      <c r="B36" s="6">
        <f>基礎データ!B35*(1+前提・出典!$B$2)+前提・出典!$B$5</f>
        <v/>
      </c>
      <c r="C36" s="6">
        <f>B36+アメリカ!$B$6</f>
        <v/>
      </c>
      <c r="D36" s="6">
        <f>基礎データ!C35*(1+前提・出典!$B$2)</f>
        <v/>
      </c>
      <c r="E36" s="6">
        <f>基礎データ!D35*(1+前提・出典!$B$2)</f>
        <v/>
      </c>
      <c r="F36" s="6">
        <f>基礎データ!E35*(1+前提・出典!$B$2)+前提・出典!$B$3*(1+前提・出典!$B$4)</f>
        <v/>
      </c>
      <c r="G36" s="6">
        <f>基礎データ!O35*(1+前提・出典!$B$2)+前提・出典!$B$3*(1+前提・出典!$B$4)</f>
        <v/>
      </c>
      <c r="H36" s="6">
        <f>MIN(基礎データ!$E35:$AE35)*(1+前提・出典!$B$2)+前提・出典!$B$3*(1+前提・出典!$B$4)</f>
        <v/>
      </c>
      <c r="I36" s="9">
        <f>INDEX(基礎データ!$E$2:$AE$2,MATCH(MIN(基礎データ!$E35:$AE35),基礎データ!$E35:$AE35,0))</f>
        <v/>
      </c>
      <c r="J36" s="6">
        <f>MAX(基礎データ!$E35:$AE35)*(1+前提・出典!$B$2)+前提・出典!$B$3*(1+前提・出典!$B$4)</f>
        <v/>
      </c>
      <c r="K36" s="9">
        <f>INDEX(基礎データ!$E$2:$AE$2,MATCH(MAX(基礎データ!$E35:$AE35),基礎データ!$E35:$AE35,0))</f>
        <v/>
      </c>
    </row>
    <row r="37">
      <c r="A37">
        <f>基礎データ!A36</f>
        <v/>
      </c>
      <c r="B37" s="6">
        <f>基礎データ!B36*(1+前提・出典!$B$2)+前提・出典!$B$5</f>
        <v/>
      </c>
      <c r="C37" s="6">
        <f>B37+アメリカ!$B$6</f>
        <v/>
      </c>
      <c r="D37" s="6">
        <f>基礎データ!C36*(1+前提・出典!$B$2)</f>
        <v/>
      </c>
      <c r="E37" s="6">
        <f>基礎データ!D36*(1+前提・出典!$B$2)</f>
        <v/>
      </c>
      <c r="F37" s="6">
        <f>基礎データ!E36*(1+前提・出典!$B$2)+前提・出典!$B$3*(1+前提・出典!$B$4)</f>
        <v/>
      </c>
      <c r="G37" s="6">
        <f>基礎データ!O36*(1+前提・出典!$B$2)+前提・出典!$B$3*(1+前提・出典!$B$4)</f>
        <v/>
      </c>
      <c r="H37" s="6">
        <f>MIN(基礎データ!$E36:$AE36)*(1+前提・出典!$B$2)+前提・出典!$B$3*(1+前提・出典!$B$4)</f>
        <v/>
      </c>
      <c r="I37" s="9">
        <f>INDEX(基礎データ!$E$2:$AE$2,MATCH(MIN(基礎データ!$E36:$AE36),基礎データ!$E36:$AE36,0))</f>
        <v/>
      </c>
      <c r="J37" s="6">
        <f>MAX(基礎データ!$E36:$AE36)*(1+前提・出典!$B$2)+前提・出典!$B$3*(1+前提・出典!$B$4)</f>
        <v/>
      </c>
      <c r="K37" s="9">
        <f>INDEX(基礎データ!$E$2:$AE$2,MATCH(MAX(基礎データ!$E36:$AE36),基礎データ!$E36:$AE36,0))</f>
        <v/>
      </c>
    </row>
    <row r="38">
      <c r="A38">
        <f>基礎データ!A37</f>
        <v/>
      </c>
      <c r="B38" s="6">
        <f>基礎データ!B37*(1+前提・出典!$B$2)+前提・出典!$B$5</f>
        <v/>
      </c>
      <c r="C38" s="6">
        <f>B38+アメリカ!$B$6</f>
        <v/>
      </c>
      <c r="D38" s="6">
        <f>基礎データ!C37*(1+前提・出典!$B$2)</f>
        <v/>
      </c>
      <c r="E38" s="6">
        <f>基礎データ!D37*(1+前提・出典!$B$2)</f>
        <v/>
      </c>
      <c r="F38" s="6">
        <f>基礎データ!E37*(1+前提・出典!$B$2)+前提・出典!$B$3*(1+前提・出典!$B$4)</f>
        <v/>
      </c>
      <c r="G38" s="6">
        <f>基礎データ!O37*(1+前提・出典!$B$2)+前提・出典!$B$3*(1+前提・出典!$B$4)</f>
        <v/>
      </c>
      <c r="H38" s="6">
        <f>MIN(基礎データ!$E37:$AE37)*(1+前提・出典!$B$2)+前提・出典!$B$3*(1+前提・出典!$B$4)</f>
        <v/>
      </c>
      <c r="I38" s="9">
        <f>INDEX(基礎データ!$E$2:$AE$2,MATCH(MIN(基礎データ!$E37:$AE37),基礎データ!$E37:$AE37,0))</f>
        <v/>
      </c>
      <c r="J38" s="6">
        <f>MAX(基礎データ!$E37:$AE37)*(1+前提・出典!$B$2)+前提・出典!$B$3*(1+前提・出典!$B$4)</f>
        <v/>
      </c>
      <c r="K38" s="9">
        <f>INDEX(基礎データ!$E$2:$AE$2,MATCH(MAX(基礎データ!$E37:$AE37),基礎データ!$E37:$AE37,0))</f>
        <v/>
      </c>
    </row>
    <row r="39">
      <c r="A39">
        <f>基礎データ!A38</f>
        <v/>
      </c>
      <c r="B39" s="6">
        <f>基礎データ!B38*(1+前提・出典!$B$2)+前提・出典!$B$5</f>
        <v/>
      </c>
      <c r="C39" s="6">
        <f>B39+アメリカ!$B$6</f>
        <v/>
      </c>
      <c r="D39" s="6">
        <f>基礎データ!C38*(1+前提・出典!$B$2)</f>
        <v/>
      </c>
      <c r="E39" s="6">
        <f>基礎データ!D38*(1+前提・出典!$B$2)</f>
        <v/>
      </c>
      <c r="F39" s="6">
        <f>基礎データ!E38*(1+前提・出典!$B$2)+前提・出典!$B$3*(1+前提・出典!$B$4)</f>
        <v/>
      </c>
      <c r="G39" s="6">
        <f>基礎データ!O38*(1+前提・出典!$B$2)+前提・出典!$B$3*(1+前提・出典!$B$4)</f>
        <v/>
      </c>
      <c r="H39" s="6">
        <f>MIN(基礎データ!$E38:$AE38)*(1+前提・出典!$B$2)+前提・出典!$B$3*(1+前提・出典!$B$4)</f>
        <v/>
      </c>
      <c r="I39" s="9">
        <f>INDEX(基礎データ!$E$2:$AE$2,MATCH(MIN(基礎データ!$E38:$AE38),基礎データ!$E38:$AE38,0))</f>
        <v/>
      </c>
      <c r="J39" s="6">
        <f>MAX(基礎データ!$E38:$AE38)*(1+前提・出典!$B$2)+前提・出典!$B$3*(1+前提・出典!$B$4)</f>
        <v/>
      </c>
      <c r="K39" s="9">
        <f>INDEX(基礎データ!$E$2:$AE$2,MATCH(MAX(基礎データ!$E38:$AE38),基礎データ!$E38:$AE38,0))</f>
        <v/>
      </c>
    </row>
    <row r="40">
      <c r="A40">
        <f>基礎データ!A39</f>
        <v/>
      </c>
      <c r="B40" s="6">
        <f>基礎データ!B39*(1+前提・出典!$B$2)+前提・出典!$B$5</f>
        <v/>
      </c>
      <c r="C40" s="6">
        <f>B40+アメリカ!$B$6</f>
        <v/>
      </c>
      <c r="D40" s="6">
        <f>基礎データ!C39*(1+前提・出典!$B$2)</f>
        <v/>
      </c>
      <c r="E40" s="6">
        <f>基礎データ!D39*(1+前提・出典!$B$2)</f>
        <v/>
      </c>
      <c r="F40" s="6">
        <f>基礎データ!E39*(1+前提・出典!$B$2)+前提・出典!$B$3*(1+前提・出典!$B$4)</f>
        <v/>
      </c>
      <c r="G40" s="6">
        <f>基礎データ!O39*(1+前提・出典!$B$2)+前提・出典!$B$3*(1+前提・出典!$B$4)</f>
        <v/>
      </c>
      <c r="H40" s="6">
        <f>MIN(基礎データ!$E39:$AE39)*(1+前提・出典!$B$2)+前提・出典!$B$3*(1+前提・出典!$B$4)</f>
        <v/>
      </c>
      <c r="I40" s="9">
        <f>INDEX(基礎データ!$E$2:$AE$2,MATCH(MIN(基礎データ!$E39:$AE39),基礎データ!$E39:$AE39,0))</f>
        <v/>
      </c>
      <c r="J40" s="6">
        <f>MAX(基礎データ!$E39:$AE39)*(1+前提・出典!$B$2)+前提・出典!$B$3*(1+前提・出典!$B$4)</f>
        <v/>
      </c>
      <c r="K40" s="9">
        <f>INDEX(基礎データ!$E$2:$AE$2,MATCH(MAX(基礎データ!$E39:$AE39),基礎データ!$E39:$AE39,0))</f>
        <v/>
      </c>
    </row>
    <row r="41">
      <c r="A41">
        <f>基礎データ!A40</f>
        <v/>
      </c>
      <c r="B41" s="6">
        <f>基礎データ!B40*(1+前提・出典!$B$2)+前提・出典!$B$5</f>
        <v/>
      </c>
      <c r="C41" s="6">
        <f>B41+アメリカ!$B$6</f>
        <v/>
      </c>
      <c r="D41" s="6">
        <f>基礎データ!C40*(1+前提・出典!$B$2)</f>
        <v/>
      </c>
      <c r="E41" s="6">
        <f>基礎データ!D40*(1+前提・出典!$B$2)</f>
        <v/>
      </c>
      <c r="F41" s="6">
        <f>基礎データ!E40*(1+前提・出典!$B$2)+前提・出典!$B$3*(1+前提・出典!$B$4)</f>
        <v/>
      </c>
      <c r="G41" s="6">
        <f>基礎データ!O40*(1+前提・出典!$B$2)+前提・出典!$B$3*(1+前提・出典!$B$4)</f>
        <v/>
      </c>
      <c r="H41" s="6">
        <f>MIN(基礎データ!$E40:$AE40)*(1+前提・出典!$B$2)+前提・出典!$B$3*(1+前提・出典!$B$4)</f>
        <v/>
      </c>
      <c r="I41" s="9">
        <f>INDEX(基礎データ!$E$2:$AE$2,MATCH(MIN(基礎データ!$E40:$AE40),基礎データ!$E40:$AE40,0))</f>
        <v/>
      </c>
      <c r="J41" s="6">
        <f>MAX(基礎データ!$E40:$AE40)*(1+前提・出典!$B$2)+前提・出典!$B$3*(1+前提・出典!$B$4)</f>
        <v/>
      </c>
      <c r="K41" s="9">
        <f>INDEX(基礎データ!$E$2:$AE$2,MATCH(MAX(基礎データ!$E40:$AE40),基礎データ!$E40:$AE40,0))</f>
        <v/>
      </c>
    </row>
    <row r="42">
      <c r="A42">
        <f>基礎データ!A41</f>
        <v/>
      </c>
      <c r="B42" s="6">
        <f>基礎データ!B41*(1+前提・出典!$B$2)+前提・出典!$B$5</f>
        <v/>
      </c>
      <c r="C42" s="6">
        <f>B42+アメリカ!$B$6</f>
        <v/>
      </c>
      <c r="D42" s="6">
        <f>基礎データ!C41*(1+前提・出典!$B$2)</f>
        <v/>
      </c>
      <c r="E42" s="6">
        <f>基礎データ!D41*(1+前提・出典!$B$2)</f>
        <v/>
      </c>
      <c r="F42" s="6">
        <f>基礎データ!E41*(1+前提・出典!$B$2)+前提・出典!$B$3*(1+前提・出典!$B$4)</f>
        <v/>
      </c>
      <c r="G42" s="6">
        <f>基礎データ!O41*(1+前提・出典!$B$2)+前提・出典!$B$3*(1+前提・出典!$B$4)</f>
        <v/>
      </c>
      <c r="H42" s="6">
        <f>MIN(基礎データ!$E41:$AE41)*(1+前提・出典!$B$2)+前提・出典!$B$3*(1+前提・出典!$B$4)</f>
        <v/>
      </c>
      <c r="I42" s="9">
        <f>INDEX(基礎データ!$E$2:$AE$2,MATCH(MIN(基礎データ!$E41:$AE41),基礎データ!$E41:$AE41,0))</f>
        <v/>
      </c>
      <c r="J42" s="6">
        <f>MAX(基礎データ!$E41:$AE41)*(1+前提・出典!$B$2)+前提・出典!$B$3*(1+前提・出典!$B$4)</f>
        <v/>
      </c>
      <c r="K42" s="9">
        <f>INDEX(基礎データ!$E$2:$AE$2,MATCH(MAX(基礎データ!$E41:$AE41),基礎データ!$E41:$AE41,0))</f>
        <v/>
      </c>
    </row>
    <row r="43">
      <c r="A43">
        <f>基礎データ!A42</f>
        <v/>
      </c>
      <c r="B43" s="6">
        <f>基礎データ!B42*(1+前提・出典!$B$2)+前提・出典!$B$5</f>
        <v/>
      </c>
      <c r="C43" s="6">
        <f>B43+アメリカ!$B$6</f>
        <v/>
      </c>
      <c r="D43" s="6">
        <f>基礎データ!C42*(1+前提・出典!$B$2)</f>
        <v/>
      </c>
      <c r="E43" s="6">
        <f>基礎データ!D42*(1+前提・出典!$B$2)</f>
        <v/>
      </c>
      <c r="F43" s="6">
        <f>基礎データ!E42*(1+前提・出典!$B$2)+前提・出典!$B$3*(1+前提・出典!$B$4)</f>
        <v/>
      </c>
      <c r="G43" s="6">
        <f>基礎データ!O42*(1+前提・出典!$B$2)+前提・出典!$B$3*(1+前提・出典!$B$4)</f>
        <v/>
      </c>
      <c r="H43" s="6">
        <f>MIN(基礎データ!$E42:$AE42)*(1+前提・出典!$B$2)+前提・出典!$B$3*(1+前提・出典!$B$4)</f>
        <v/>
      </c>
      <c r="I43" s="9">
        <f>INDEX(基礎データ!$E$2:$AE$2,MATCH(MIN(基礎データ!$E42:$AE42),基礎データ!$E42:$AE42,0))</f>
        <v/>
      </c>
      <c r="J43" s="6">
        <f>MAX(基礎データ!$E42:$AE42)*(1+前提・出典!$B$2)+前提・出典!$B$3*(1+前提・出典!$B$4)</f>
        <v/>
      </c>
      <c r="K43" s="9">
        <f>INDEX(基礎データ!$E$2:$AE$2,MATCH(MAX(基礎データ!$E42:$AE42),基礎データ!$E42:$AE42,0))</f>
        <v/>
      </c>
    </row>
    <row r="44">
      <c r="A44">
        <f>基礎データ!A43</f>
        <v/>
      </c>
      <c r="B44" s="6">
        <f>基礎データ!B43*(1+前提・出典!$B$2)+前提・出典!$B$5</f>
        <v/>
      </c>
      <c r="C44" s="6">
        <f>B44+アメリカ!$B$6</f>
        <v/>
      </c>
      <c r="D44" s="6">
        <f>基礎データ!C43*(1+前提・出典!$B$2)</f>
        <v/>
      </c>
      <c r="E44" s="6">
        <f>基礎データ!D43*(1+前提・出典!$B$2)</f>
        <v/>
      </c>
      <c r="F44" s="6">
        <f>基礎データ!E43*(1+前提・出典!$B$2)+前提・出典!$B$3*(1+前提・出典!$B$4)</f>
        <v/>
      </c>
      <c r="G44" s="6">
        <f>基礎データ!O43*(1+前提・出典!$B$2)+前提・出典!$B$3*(1+前提・出典!$B$4)</f>
        <v/>
      </c>
      <c r="H44" s="6">
        <f>MIN(基礎データ!$E43:$AE43)*(1+前提・出典!$B$2)+前提・出典!$B$3*(1+前提・出典!$B$4)</f>
        <v/>
      </c>
      <c r="I44" s="9">
        <f>INDEX(基礎データ!$E$2:$AE$2,MATCH(MIN(基礎データ!$E43:$AE43),基礎データ!$E43:$AE43,0))</f>
        <v/>
      </c>
      <c r="J44" s="6">
        <f>MAX(基礎データ!$E43:$AE43)*(1+前提・出典!$B$2)+前提・出典!$B$3*(1+前提・出典!$B$4)</f>
        <v/>
      </c>
      <c r="K44" s="9">
        <f>INDEX(基礎データ!$E$2:$AE$2,MATCH(MAX(基礎データ!$E43:$AE43),基礎データ!$E43:$AE43,0))</f>
        <v/>
      </c>
    </row>
    <row r="45">
      <c r="A45">
        <f>基礎データ!A44</f>
        <v/>
      </c>
      <c r="B45" s="6">
        <f>基礎データ!B44*(1+前提・出典!$B$2)+前提・出典!$B$5</f>
        <v/>
      </c>
      <c r="C45" s="6">
        <f>B45+アメリカ!$B$6</f>
        <v/>
      </c>
      <c r="D45" s="6">
        <f>基礎データ!C44*(1+前提・出典!$B$2)</f>
        <v/>
      </c>
      <c r="E45" s="6">
        <f>基礎データ!D44*(1+前提・出典!$B$2)</f>
        <v/>
      </c>
      <c r="F45" s="6">
        <f>基礎データ!E44*(1+前提・出典!$B$2)+前提・出典!$B$3*(1+前提・出典!$B$4)</f>
        <v/>
      </c>
      <c r="G45" s="6">
        <f>基礎データ!O44*(1+前提・出典!$B$2)+前提・出典!$B$3*(1+前提・出典!$B$4)</f>
        <v/>
      </c>
      <c r="H45" s="6">
        <f>MIN(基礎データ!$E44:$AE44)*(1+前提・出典!$B$2)+前提・出典!$B$3*(1+前提・出典!$B$4)</f>
        <v/>
      </c>
      <c r="I45" s="9">
        <f>INDEX(基礎データ!$E$2:$AE$2,MATCH(MIN(基礎データ!$E44:$AE44),基礎データ!$E44:$AE44,0))</f>
        <v/>
      </c>
      <c r="J45" s="6">
        <f>MAX(基礎データ!$E44:$AE44)*(1+前提・出典!$B$2)+前提・出典!$B$3*(1+前提・出典!$B$4)</f>
        <v/>
      </c>
      <c r="K45" s="9">
        <f>INDEX(基礎データ!$E$2:$AE$2,MATCH(MAX(基礎データ!$E44:$AE44),基礎データ!$E44:$AE44,0))</f>
        <v/>
      </c>
    </row>
    <row r="46">
      <c r="A46">
        <f>基礎データ!A45</f>
        <v/>
      </c>
      <c r="B46" s="6">
        <f>基礎データ!B45*(1+前提・出典!$B$2)+前提・出典!$B$5</f>
        <v/>
      </c>
      <c r="C46" s="6">
        <f>B46+アメリカ!$B$6</f>
        <v/>
      </c>
      <c r="D46" s="6">
        <f>基礎データ!C45*(1+前提・出典!$B$2)</f>
        <v/>
      </c>
      <c r="E46" s="6">
        <f>基礎データ!D45*(1+前提・出典!$B$2)</f>
        <v/>
      </c>
      <c r="F46" s="6">
        <f>基礎データ!E45*(1+前提・出典!$B$2)+前提・出典!$B$3*(1+前提・出典!$B$4)</f>
        <v/>
      </c>
      <c r="G46" s="6">
        <f>基礎データ!O45*(1+前提・出典!$B$2)+前提・出典!$B$3*(1+前提・出典!$B$4)</f>
        <v/>
      </c>
      <c r="H46" s="6">
        <f>MIN(基礎データ!$E45:$AE45)*(1+前提・出典!$B$2)+前提・出典!$B$3*(1+前提・出典!$B$4)</f>
        <v/>
      </c>
      <c r="I46" s="9">
        <f>INDEX(基礎データ!$E$2:$AE$2,MATCH(MIN(基礎データ!$E45:$AE45),基礎データ!$E45:$AE45,0))</f>
        <v/>
      </c>
      <c r="J46" s="6">
        <f>MAX(基礎データ!$E45:$AE45)*(1+前提・出典!$B$2)+前提・出典!$B$3*(1+前提・出典!$B$4)</f>
        <v/>
      </c>
      <c r="K46" s="9">
        <f>INDEX(基礎データ!$E$2:$AE$2,MATCH(MAX(基礎データ!$E45:$AE45),基礎データ!$E45:$AE45,0))</f>
        <v/>
      </c>
    </row>
    <row r="47">
      <c r="A47">
        <f>基礎データ!A46</f>
        <v/>
      </c>
      <c r="B47" s="6">
        <f>基礎データ!B46*(1+前提・出典!$B$2)+前提・出典!$B$5</f>
        <v/>
      </c>
      <c r="C47" s="6">
        <f>B47+アメリカ!$B$6</f>
        <v/>
      </c>
      <c r="D47" s="6">
        <f>基礎データ!C46*(1+前提・出典!$B$2)</f>
        <v/>
      </c>
      <c r="E47" s="6">
        <f>基礎データ!D46*(1+前提・出典!$B$2)</f>
        <v/>
      </c>
      <c r="F47" s="6">
        <f>基礎データ!E46*(1+前提・出典!$B$2)+前提・出典!$B$3*(1+前提・出典!$B$4)</f>
        <v/>
      </c>
      <c r="G47" s="6">
        <f>基礎データ!O46*(1+前提・出典!$B$2)+前提・出典!$B$3*(1+前提・出典!$B$4)</f>
        <v/>
      </c>
      <c r="H47" s="6">
        <f>MIN(基礎データ!$E46:$AE46)*(1+前提・出典!$B$2)+前提・出典!$B$3*(1+前提・出典!$B$4)</f>
        <v/>
      </c>
      <c r="I47" s="9">
        <f>INDEX(基礎データ!$E$2:$AE$2,MATCH(MIN(基礎データ!$E46:$AE46),基礎データ!$E46:$AE46,0))</f>
        <v/>
      </c>
      <c r="J47" s="6">
        <f>MAX(基礎データ!$E46:$AE46)*(1+前提・出典!$B$2)+前提・出典!$B$3*(1+前提・出典!$B$4)</f>
        <v/>
      </c>
      <c r="K47" s="9">
        <f>INDEX(基礎データ!$E$2:$AE$2,MATCH(MAX(基礎データ!$E46:$AE46),基礎データ!$E46:$AE46,0))</f>
        <v/>
      </c>
    </row>
    <row r="48">
      <c r="A48">
        <f>基礎データ!A47</f>
        <v/>
      </c>
      <c r="B48" s="6">
        <f>基礎データ!B47*(1+前提・出典!$B$2)+前提・出典!$B$5</f>
        <v/>
      </c>
      <c r="C48" s="6">
        <f>B48+アメリカ!$B$6</f>
        <v/>
      </c>
      <c r="D48" s="6">
        <f>基礎データ!C47*(1+前提・出典!$B$2)</f>
        <v/>
      </c>
      <c r="E48" s="6">
        <f>基礎データ!D47*(1+前提・出典!$B$2)</f>
        <v/>
      </c>
      <c r="F48" s="6">
        <f>基礎データ!E47*(1+前提・出典!$B$2)+前提・出典!$B$3*(1+前提・出典!$B$4)</f>
        <v/>
      </c>
      <c r="G48" s="6">
        <f>基礎データ!O47*(1+前提・出典!$B$2)+前提・出典!$B$3*(1+前提・出典!$B$4)</f>
        <v/>
      </c>
      <c r="H48" s="6">
        <f>MIN(基礎データ!$E47:$AE47)*(1+前提・出典!$B$2)+前提・出典!$B$3*(1+前提・出典!$B$4)</f>
        <v/>
      </c>
      <c r="I48" s="9">
        <f>INDEX(基礎データ!$E$2:$AE$2,MATCH(MIN(基礎データ!$E47:$AE47),基礎データ!$E47:$AE47,0))</f>
        <v/>
      </c>
      <c r="J48" s="6">
        <f>MAX(基礎データ!$E47:$AE47)*(1+前提・出典!$B$2)+前提・出典!$B$3*(1+前提・出典!$B$4)</f>
        <v/>
      </c>
      <c r="K48" s="9">
        <f>INDEX(基礎データ!$E$2:$AE$2,MATCH(MAX(基礎データ!$E47:$AE47),基礎データ!$E47:$AE47,0))</f>
        <v/>
      </c>
    </row>
    <row r="49">
      <c r="A49">
        <f>基礎データ!A48</f>
        <v/>
      </c>
      <c r="B49" s="6">
        <f>基礎データ!B48*(1+前提・出典!$B$2)+前提・出典!$B$5</f>
        <v/>
      </c>
      <c r="C49" s="6">
        <f>B49+アメリカ!$B$6</f>
        <v/>
      </c>
      <c r="D49" s="6">
        <f>基礎データ!C48*(1+前提・出典!$B$2)</f>
        <v/>
      </c>
      <c r="E49" s="6">
        <f>基礎データ!D48*(1+前提・出典!$B$2)</f>
        <v/>
      </c>
      <c r="F49" s="6">
        <f>基礎データ!E48*(1+前提・出典!$B$2)+前提・出典!$B$3*(1+前提・出典!$B$4)</f>
        <v/>
      </c>
      <c r="G49" s="6">
        <f>基礎データ!O48*(1+前提・出典!$B$2)+前提・出典!$B$3*(1+前提・出典!$B$4)</f>
        <v/>
      </c>
      <c r="H49" s="6">
        <f>MIN(基礎データ!$E48:$AE48)*(1+前提・出典!$B$2)+前提・出典!$B$3*(1+前提・出典!$B$4)</f>
        <v/>
      </c>
      <c r="I49" s="9">
        <f>INDEX(基礎データ!$E$2:$AE$2,MATCH(MIN(基礎データ!$E48:$AE48),基礎データ!$E48:$AE48,0))</f>
        <v/>
      </c>
      <c r="J49" s="6">
        <f>MAX(基礎データ!$E48:$AE48)*(1+前提・出典!$B$2)+前提・出典!$B$3*(1+前提・出典!$B$4)</f>
        <v/>
      </c>
      <c r="K49" s="9">
        <f>INDEX(基礎データ!$E$2:$AE$2,MATCH(MAX(基礎データ!$E48:$AE48),基礎データ!$E48:$AE48,0))</f>
        <v/>
      </c>
    </row>
    <row r="50">
      <c r="A50">
        <f>基礎データ!A49</f>
        <v/>
      </c>
      <c r="B50" s="6">
        <f>基礎データ!B49*(1+前提・出典!$B$2)+前提・出典!$B$5</f>
        <v/>
      </c>
      <c r="C50" s="6">
        <f>B50+アメリカ!$B$6</f>
        <v/>
      </c>
      <c r="D50" s="6">
        <f>基礎データ!C49*(1+前提・出典!$B$2)</f>
        <v/>
      </c>
      <c r="E50" s="6">
        <f>基礎データ!D49*(1+前提・出典!$B$2)</f>
        <v/>
      </c>
      <c r="F50" s="6">
        <f>基礎データ!E49*(1+前提・出典!$B$2)+前提・出典!$B$3*(1+前提・出典!$B$4)</f>
        <v/>
      </c>
      <c r="G50" s="6">
        <f>基礎データ!O49*(1+前提・出典!$B$2)+前提・出典!$B$3*(1+前提・出典!$B$4)</f>
        <v/>
      </c>
      <c r="H50" s="6">
        <f>MIN(基礎データ!$E49:$AE49)*(1+前提・出典!$B$2)+前提・出典!$B$3*(1+前提・出典!$B$4)</f>
        <v/>
      </c>
      <c r="I50" s="9">
        <f>INDEX(基礎データ!$E$2:$AE$2,MATCH(MIN(基礎データ!$E49:$AE49),基礎データ!$E49:$AE49,0))</f>
        <v/>
      </c>
      <c r="J50" s="6">
        <f>MAX(基礎データ!$E49:$AE49)*(1+前提・出典!$B$2)+前提・出典!$B$3*(1+前提・出典!$B$4)</f>
        <v/>
      </c>
      <c r="K50" s="9">
        <f>INDEX(基礎データ!$E$2:$AE$2,MATCH(MAX(基礎データ!$E49:$AE49),基礎データ!$E49:$AE49,0))</f>
        <v/>
      </c>
    </row>
    <row r="51">
      <c r="A51">
        <f>基礎データ!A50</f>
        <v/>
      </c>
      <c r="B51" s="6">
        <f>基礎データ!B50*(1+前提・出典!$B$2)+前提・出典!$B$5</f>
        <v/>
      </c>
      <c r="C51" s="6">
        <f>B51+アメリカ!$B$6</f>
        <v/>
      </c>
      <c r="D51" s="6">
        <f>基礎データ!C50*(1+前提・出典!$B$2)</f>
        <v/>
      </c>
      <c r="E51" s="6">
        <f>基礎データ!D50*(1+前提・出典!$B$2)</f>
        <v/>
      </c>
      <c r="F51" s="6">
        <f>基礎データ!E50*(1+前提・出典!$B$2)+前提・出典!$B$3*(1+前提・出典!$B$4)</f>
        <v/>
      </c>
      <c r="G51" s="6">
        <f>基礎データ!O50*(1+前提・出典!$B$2)+前提・出典!$B$3*(1+前提・出典!$B$4)</f>
        <v/>
      </c>
      <c r="H51" s="6">
        <f>MIN(基礎データ!$E50:$AE50)*(1+前提・出典!$B$2)+前提・出典!$B$3*(1+前提・出典!$B$4)</f>
        <v/>
      </c>
      <c r="I51" s="9">
        <f>INDEX(基礎データ!$E$2:$AE$2,MATCH(MIN(基礎データ!$E50:$AE50),基礎データ!$E50:$AE50,0))</f>
        <v/>
      </c>
      <c r="J51" s="6">
        <f>MAX(基礎データ!$E50:$AE50)*(1+前提・出典!$B$2)+前提・出典!$B$3*(1+前提・出典!$B$4)</f>
        <v/>
      </c>
      <c r="K51" s="9">
        <f>INDEX(基礎データ!$E$2:$AE$2,MATCH(MAX(基礎データ!$E50:$AE50),基礎データ!$E50:$AE50,0))</f>
        <v/>
      </c>
    </row>
    <row r="52">
      <c r="A52">
        <f>基礎データ!A51</f>
        <v/>
      </c>
      <c r="B52" s="6">
        <f>基礎データ!B51*(1+前提・出典!$B$2)+前提・出典!$B$5</f>
        <v/>
      </c>
      <c r="C52" s="6">
        <f>B52+アメリカ!$B$6</f>
        <v/>
      </c>
      <c r="D52" s="6">
        <f>基礎データ!C51*(1+前提・出典!$B$2)</f>
        <v/>
      </c>
      <c r="E52" s="6">
        <f>基礎データ!D51*(1+前提・出典!$B$2)</f>
        <v/>
      </c>
      <c r="F52" s="6">
        <f>基礎データ!E51*(1+前提・出典!$B$2)+前提・出典!$B$3*(1+前提・出典!$B$4)</f>
        <v/>
      </c>
      <c r="G52" s="6">
        <f>基礎データ!O51*(1+前提・出典!$B$2)+前提・出典!$B$3*(1+前提・出典!$B$4)</f>
        <v/>
      </c>
      <c r="H52" s="6">
        <f>MIN(基礎データ!$E51:$AE51)*(1+前提・出典!$B$2)+前提・出典!$B$3*(1+前提・出典!$B$4)</f>
        <v/>
      </c>
      <c r="I52" s="9">
        <f>INDEX(基礎データ!$E$2:$AE$2,MATCH(MIN(基礎データ!$E51:$AE51),基礎データ!$E51:$AE51,0))</f>
        <v/>
      </c>
      <c r="J52" s="6">
        <f>MAX(基礎データ!$E51:$AE51)*(1+前提・出典!$B$2)+前提・出典!$B$3*(1+前提・出典!$B$4)</f>
        <v/>
      </c>
      <c r="K52" s="9">
        <f>INDEX(基礎データ!$E$2:$AE$2,MATCH(MAX(基礎データ!$E51:$AE51),基礎データ!$E51:$AE51,0))</f>
        <v/>
      </c>
    </row>
    <row r="53">
      <c r="A53">
        <f>基礎データ!A52</f>
        <v/>
      </c>
      <c r="B53" s="6">
        <f>基礎データ!B52*(1+前提・出典!$B$2)+前提・出典!$B$5</f>
        <v/>
      </c>
      <c r="C53" s="6">
        <f>B53+アメリカ!$B$6</f>
        <v/>
      </c>
      <c r="D53" s="6">
        <f>基礎データ!C52*(1+前提・出典!$B$2)</f>
        <v/>
      </c>
      <c r="E53" s="6">
        <f>基礎データ!D52*(1+前提・出典!$B$2)</f>
        <v/>
      </c>
      <c r="F53" s="6">
        <f>基礎データ!E52*(1+前提・出典!$B$2)+前提・出典!$B$3*(1+前提・出典!$B$4)</f>
        <v/>
      </c>
      <c r="G53" s="6">
        <f>基礎データ!O52*(1+前提・出典!$B$2)+前提・出典!$B$3*(1+前提・出典!$B$4)</f>
        <v/>
      </c>
      <c r="H53" s="6">
        <f>MIN(基礎データ!$E52:$AE52)*(1+前提・出典!$B$2)+前提・出典!$B$3*(1+前提・出典!$B$4)</f>
        <v/>
      </c>
      <c r="I53" s="9">
        <f>INDEX(基礎データ!$E$2:$AE$2,MATCH(MIN(基礎データ!$E52:$AE52),基礎データ!$E52:$AE52,0))</f>
        <v/>
      </c>
      <c r="J53" s="6">
        <f>MAX(基礎データ!$E52:$AE52)*(1+前提・出典!$B$2)+前提・出典!$B$3*(1+前提・出典!$B$4)</f>
        <v/>
      </c>
      <c r="K53" s="9">
        <f>INDEX(基礎データ!$E$2:$AE$2,MATCH(MAX(基礎データ!$E52:$AE52),基礎データ!$E52:$AE52,0))</f>
        <v/>
      </c>
    </row>
    <row r="54">
      <c r="A54">
        <f>基礎データ!A53</f>
        <v/>
      </c>
      <c r="B54" s="6">
        <f>基礎データ!B53*(1+前提・出典!$B$2)+前提・出典!$B$5</f>
        <v/>
      </c>
      <c r="C54" s="6">
        <f>B54+アメリカ!$B$6</f>
        <v/>
      </c>
      <c r="D54" s="6">
        <f>基礎データ!C53*(1+前提・出典!$B$2)</f>
        <v/>
      </c>
      <c r="E54" s="6">
        <f>基礎データ!D53*(1+前提・出典!$B$2)</f>
        <v/>
      </c>
      <c r="F54" s="6">
        <f>基礎データ!E53*(1+前提・出典!$B$2)+前提・出典!$B$3*(1+前提・出典!$B$4)</f>
        <v/>
      </c>
      <c r="G54" s="6">
        <f>基礎データ!O53*(1+前提・出典!$B$2)+前提・出典!$B$3*(1+前提・出典!$B$4)</f>
        <v/>
      </c>
      <c r="H54" s="6">
        <f>MIN(基礎データ!$E53:$AE53)*(1+前提・出典!$B$2)+前提・出典!$B$3*(1+前提・出典!$B$4)</f>
        <v/>
      </c>
      <c r="I54" s="9">
        <f>INDEX(基礎データ!$E$2:$AE$2,MATCH(MIN(基礎データ!$E53:$AE53),基礎データ!$E53:$AE53,0))</f>
        <v/>
      </c>
      <c r="J54" s="6">
        <f>MAX(基礎データ!$E53:$AE53)*(1+前提・出典!$B$2)+前提・出典!$B$3*(1+前提・出典!$B$4)</f>
        <v/>
      </c>
      <c r="K54" s="9">
        <f>INDEX(基礎データ!$E$2:$AE$2,MATCH(MAX(基礎データ!$E53:$AE53),基礎データ!$E53:$AE53,0))</f>
        <v/>
      </c>
    </row>
    <row r="55">
      <c r="A55">
        <f>基礎データ!A54</f>
        <v/>
      </c>
      <c r="B55" s="6">
        <f>基礎データ!B54*(1+前提・出典!$B$2)+前提・出典!$B$5</f>
        <v/>
      </c>
      <c r="C55" s="6">
        <f>B55+アメリカ!$B$6</f>
        <v/>
      </c>
      <c r="D55" s="6">
        <f>基礎データ!C54*(1+前提・出典!$B$2)</f>
        <v/>
      </c>
      <c r="E55" s="6">
        <f>基礎データ!D54*(1+前提・出典!$B$2)</f>
        <v/>
      </c>
      <c r="F55" s="6">
        <f>基礎データ!E54*(1+前提・出典!$B$2)+前提・出典!$B$3*(1+前提・出典!$B$4)</f>
        <v/>
      </c>
      <c r="G55" s="6">
        <f>基礎データ!O54*(1+前提・出典!$B$2)+前提・出典!$B$3*(1+前提・出典!$B$4)</f>
        <v/>
      </c>
      <c r="H55" s="6">
        <f>MIN(基礎データ!$E54:$AE54)*(1+前提・出典!$B$2)+前提・出典!$B$3*(1+前提・出典!$B$4)</f>
        <v/>
      </c>
      <c r="I55" s="9">
        <f>INDEX(基礎データ!$E$2:$AE$2,MATCH(MIN(基礎データ!$E54:$AE54),基礎データ!$E54:$AE54,0))</f>
        <v/>
      </c>
      <c r="J55" s="6">
        <f>MAX(基礎データ!$E54:$AE54)*(1+前提・出典!$B$2)+前提・出典!$B$3*(1+前提・出典!$B$4)</f>
        <v/>
      </c>
      <c r="K55" s="9">
        <f>INDEX(基礎データ!$E$2:$AE$2,MATCH(MAX(基礎データ!$E54:$AE54),基礎データ!$E54:$AE54,0))</f>
        <v/>
      </c>
    </row>
    <row r="56">
      <c r="A56">
        <f>基礎データ!A55</f>
        <v/>
      </c>
      <c r="B56" s="6">
        <f>基礎データ!B55*(1+前提・出典!$B$2)+前提・出典!$B$5</f>
        <v/>
      </c>
      <c r="C56" s="6">
        <f>B56+アメリカ!$B$6</f>
        <v/>
      </c>
      <c r="D56" s="6">
        <f>基礎データ!C55*(1+前提・出典!$B$2)</f>
        <v/>
      </c>
      <c r="E56" s="6">
        <f>基礎データ!D55*(1+前提・出典!$B$2)</f>
        <v/>
      </c>
      <c r="F56" s="6">
        <f>基礎データ!E55*(1+前提・出典!$B$2)+前提・出典!$B$3*(1+前提・出典!$B$4)</f>
        <v/>
      </c>
      <c r="G56" s="6">
        <f>基礎データ!O55*(1+前提・出典!$B$2)+前提・出典!$B$3*(1+前提・出典!$B$4)</f>
        <v/>
      </c>
      <c r="H56" s="6">
        <f>MIN(基礎データ!$E55:$AE55)*(1+前提・出典!$B$2)+前提・出典!$B$3*(1+前提・出典!$B$4)</f>
        <v/>
      </c>
      <c r="I56" s="9">
        <f>INDEX(基礎データ!$E$2:$AE$2,MATCH(MIN(基礎データ!$E55:$AE55),基礎データ!$E55:$AE55,0))</f>
        <v/>
      </c>
      <c r="J56" s="6">
        <f>MAX(基礎データ!$E55:$AE55)*(1+前提・出典!$B$2)+前提・出典!$B$3*(1+前提・出典!$B$4)</f>
        <v/>
      </c>
      <c r="K56" s="9">
        <f>INDEX(基礎データ!$E$2:$AE$2,MATCH(MAX(基礎データ!$E55:$AE55),基礎データ!$E55:$AE55,0))</f>
        <v/>
      </c>
    </row>
    <row r="57">
      <c r="A57">
        <f>基礎データ!A56</f>
        <v/>
      </c>
      <c r="B57" s="6">
        <f>基礎データ!B56*(1+前提・出典!$B$2)+前提・出典!$B$5</f>
        <v/>
      </c>
      <c r="C57" s="6">
        <f>B57+アメリカ!$B$6</f>
        <v/>
      </c>
      <c r="D57" s="6">
        <f>基礎データ!C56*(1+前提・出典!$B$2)</f>
        <v/>
      </c>
      <c r="E57" s="6">
        <f>基礎データ!D56*(1+前提・出典!$B$2)</f>
        <v/>
      </c>
      <c r="F57" s="6">
        <f>基礎データ!E56*(1+前提・出典!$B$2)+前提・出典!$B$3*(1+前提・出典!$B$4)</f>
        <v/>
      </c>
      <c r="G57" s="6">
        <f>基礎データ!O56*(1+前提・出典!$B$2)+前提・出典!$B$3*(1+前提・出典!$B$4)</f>
        <v/>
      </c>
      <c r="H57" s="6">
        <f>MIN(基礎データ!$E56:$AE56)*(1+前提・出典!$B$2)+前提・出典!$B$3*(1+前提・出典!$B$4)</f>
        <v/>
      </c>
      <c r="I57" s="9">
        <f>INDEX(基礎データ!$E$2:$AE$2,MATCH(MIN(基礎データ!$E56:$AE56),基礎データ!$E56:$AE56,0))</f>
        <v/>
      </c>
      <c r="J57" s="6">
        <f>MAX(基礎データ!$E56:$AE56)*(1+前提・出典!$B$2)+前提・出典!$B$3*(1+前提・出典!$B$4)</f>
        <v/>
      </c>
      <c r="K57" s="9">
        <f>INDEX(基礎データ!$E$2:$AE$2,MATCH(MAX(基礎データ!$E56:$AE56),基礎データ!$E56:$AE56,0))</f>
        <v/>
      </c>
    </row>
    <row r="58">
      <c r="A58">
        <f>基礎データ!A57</f>
        <v/>
      </c>
      <c r="B58" s="6">
        <f>基礎データ!B57*(1+前提・出典!$B$2)+前提・出典!$B$5</f>
        <v/>
      </c>
      <c r="C58" s="6">
        <f>B58+アメリカ!$B$6</f>
        <v/>
      </c>
      <c r="D58" s="6">
        <f>基礎データ!C57*(1+前提・出典!$B$2)</f>
        <v/>
      </c>
      <c r="E58" s="6">
        <f>基礎データ!D57*(1+前提・出典!$B$2)</f>
        <v/>
      </c>
      <c r="F58" s="6">
        <f>基礎データ!E57*(1+前提・出典!$B$2)+前提・出典!$B$3*(1+前提・出典!$B$4)</f>
        <v/>
      </c>
      <c r="G58" s="6">
        <f>基礎データ!O57*(1+前提・出典!$B$2)+前提・出典!$B$3*(1+前提・出典!$B$4)</f>
        <v/>
      </c>
      <c r="H58" s="6">
        <f>MIN(基礎データ!$E57:$AE57)*(1+前提・出典!$B$2)+前提・出典!$B$3*(1+前提・出典!$B$4)</f>
        <v/>
      </c>
      <c r="I58" s="9">
        <f>INDEX(基礎データ!$E$2:$AE$2,MATCH(MIN(基礎データ!$E57:$AE57),基礎データ!$E57:$AE57,0))</f>
        <v/>
      </c>
      <c r="J58" s="6">
        <f>MAX(基礎データ!$E57:$AE57)*(1+前提・出典!$B$2)+前提・出典!$B$3*(1+前提・出典!$B$4)</f>
        <v/>
      </c>
      <c r="K58" s="9">
        <f>INDEX(基礎データ!$E$2:$AE$2,MATCH(MAX(基礎データ!$E57:$AE57),基礎データ!$E57:$AE57,0))</f>
        <v/>
      </c>
    </row>
    <row r="59">
      <c r="A59">
        <f>基礎データ!A58</f>
        <v/>
      </c>
      <c r="B59" s="6">
        <f>基礎データ!B58*(1+前提・出典!$B$2)+前提・出典!$B$5</f>
        <v/>
      </c>
      <c r="C59" s="6">
        <f>B59+アメリカ!$B$6</f>
        <v/>
      </c>
      <c r="D59" s="6">
        <f>基礎データ!C58*(1+前提・出典!$B$2)</f>
        <v/>
      </c>
      <c r="E59" s="6">
        <f>基礎データ!D58*(1+前提・出典!$B$2)</f>
        <v/>
      </c>
      <c r="F59" s="6">
        <f>基礎データ!E58*(1+前提・出典!$B$2)+前提・出典!$B$3*(1+前提・出典!$B$4)</f>
        <v/>
      </c>
      <c r="G59" s="6">
        <f>基礎データ!O58*(1+前提・出典!$B$2)+前提・出典!$B$3*(1+前提・出典!$B$4)</f>
        <v/>
      </c>
      <c r="H59" s="6">
        <f>MIN(基礎データ!$E58:$AE58)*(1+前提・出典!$B$2)+前提・出典!$B$3*(1+前提・出典!$B$4)</f>
        <v/>
      </c>
      <c r="I59" s="9">
        <f>INDEX(基礎データ!$E$2:$AE$2,MATCH(MIN(基礎データ!$E58:$AE58),基礎データ!$E58:$AE58,0))</f>
        <v/>
      </c>
      <c r="J59" s="6">
        <f>MAX(基礎データ!$E58:$AE58)*(1+前提・出典!$B$2)+前提・出典!$B$3*(1+前提・出典!$B$4)</f>
        <v/>
      </c>
      <c r="K59" s="9">
        <f>INDEX(基礎データ!$E$2:$AE$2,MATCH(MAX(基礎データ!$E58:$AE58),基礎データ!$E58:$AE58,0))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t="inlineStr">
        <is>
          <t>EU27カ国別の合計送料（円・サーチャージ込み）＝基本送料×(1+燃油12%)＋関税555円×(1+処理2.1%)</t>
        </is>
      </c>
    </row>
    <row r="2">
      <c r="A2" s="5" t="inlineStr">
        <is>
          <t>重量kg最大</t>
        </is>
      </c>
      <c r="B2" s="5" t="inlineStr">
        <is>
          <t>DE ドイツ</t>
        </is>
      </c>
      <c r="C2" s="5" t="inlineStr">
        <is>
          <t>AT オーストリア</t>
        </is>
      </c>
      <c r="D2" s="5" t="inlineStr">
        <is>
          <t>BE ベルギー</t>
        </is>
      </c>
      <c r="E2" s="5" t="inlineStr">
        <is>
          <t>BG ブルガリア</t>
        </is>
      </c>
      <c r="F2" s="5" t="inlineStr">
        <is>
          <t>CY キプロス</t>
        </is>
      </c>
      <c r="G2" s="5" t="inlineStr">
        <is>
          <t>CZ チェコ</t>
        </is>
      </c>
      <c r="H2" s="5" t="inlineStr">
        <is>
          <t>DK デンマーク</t>
        </is>
      </c>
      <c r="I2" s="5" t="inlineStr">
        <is>
          <t>EE エストニア</t>
        </is>
      </c>
      <c r="J2" s="5" t="inlineStr">
        <is>
          <t>ES スペイン</t>
        </is>
      </c>
      <c r="K2" s="5" t="inlineStr">
        <is>
          <t>FI フィンランド</t>
        </is>
      </c>
      <c r="L2" s="5" t="inlineStr">
        <is>
          <t>FR フランス</t>
        </is>
      </c>
      <c r="M2" s="5" t="inlineStr">
        <is>
          <t>GR ギリシャ</t>
        </is>
      </c>
      <c r="N2" s="5" t="inlineStr">
        <is>
          <t>HR クロアチア</t>
        </is>
      </c>
      <c r="O2" s="5" t="inlineStr">
        <is>
          <t>HU ハンガリー</t>
        </is>
      </c>
      <c r="P2" s="5" t="inlineStr">
        <is>
          <t>IE アイルランド</t>
        </is>
      </c>
      <c r="Q2" s="5" t="inlineStr">
        <is>
          <t>IT イタリア</t>
        </is>
      </c>
      <c r="R2" s="5" t="inlineStr">
        <is>
          <t>LT リトアニア</t>
        </is>
      </c>
      <c r="S2" s="5" t="inlineStr">
        <is>
          <t>LU ルクセンブルク</t>
        </is>
      </c>
      <c r="T2" s="5" t="inlineStr">
        <is>
          <t>LV ラトビア</t>
        </is>
      </c>
      <c r="U2" s="5" t="inlineStr">
        <is>
          <t>MT マルタ</t>
        </is>
      </c>
      <c r="V2" s="5" t="inlineStr">
        <is>
          <t>NL オランダ</t>
        </is>
      </c>
      <c r="W2" s="5" t="inlineStr">
        <is>
          <t>PL ポーランド</t>
        </is>
      </c>
      <c r="X2" s="5" t="inlineStr">
        <is>
          <t>PT ポルトガル</t>
        </is>
      </c>
      <c r="Y2" s="5" t="inlineStr">
        <is>
          <t>RO ルーマニア</t>
        </is>
      </c>
      <c r="Z2" s="5" t="inlineStr">
        <is>
          <t>SE スウェーデン</t>
        </is>
      </c>
      <c r="AA2" s="5" t="inlineStr">
        <is>
          <t>SI スロベニア</t>
        </is>
      </c>
      <c r="AB2" s="5" t="inlineStr">
        <is>
          <t>SK スロバキア</t>
        </is>
      </c>
    </row>
    <row r="3">
      <c r="A3">
        <f>基礎データ!A3</f>
        <v/>
      </c>
      <c r="B3" s="6">
        <f>基礎データ!E3*(1+前提・出典!$B$2)+前提・出典!$B$3*(1+前提・出典!$B$4)</f>
        <v/>
      </c>
      <c r="C3" s="6">
        <f>基礎データ!F3*(1+前提・出典!$B$2)+前提・出典!$B$3*(1+前提・出典!$B$4)</f>
        <v/>
      </c>
      <c r="D3" s="6">
        <f>基礎データ!G3*(1+前提・出典!$B$2)+前提・出典!$B$3*(1+前提・出典!$B$4)</f>
        <v/>
      </c>
      <c r="E3" s="6">
        <f>基礎データ!H3*(1+前提・出典!$B$2)+前提・出典!$B$3*(1+前提・出典!$B$4)</f>
        <v/>
      </c>
      <c r="F3" s="6">
        <f>基礎データ!I3*(1+前提・出典!$B$2)+前提・出典!$B$3*(1+前提・出典!$B$4)</f>
        <v/>
      </c>
      <c r="G3" s="6">
        <f>基礎データ!J3*(1+前提・出典!$B$2)+前提・出典!$B$3*(1+前提・出典!$B$4)</f>
        <v/>
      </c>
      <c r="H3" s="6">
        <f>基礎データ!K3*(1+前提・出典!$B$2)+前提・出典!$B$3*(1+前提・出典!$B$4)</f>
        <v/>
      </c>
      <c r="I3" s="6">
        <f>基礎データ!L3*(1+前提・出典!$B$2)+前提・出典!$B$3*(1+前提・出典!$B$4)</f>
        <v/>
      </c>
      <c r="J3" s="6">
        <f>基礎データ!M3*(1+前提・出典!$B$2)+前提・出典!$B$3*(1+前提・出典!$B$4)</f>
        <v/>
      </c>
      <c r="K3" s="6">
        <f>基礎データ!N3*(1+前提・出典!$B$2)+前提・出典!$B$3*(1+前提・出典!$B$4)</f>
        <v/>
      </c>
      <c r="L3" s="6">
        <f>基礎データ!O3*(1+前提・出典!$B$2)+前提・出典!$B$3*(1+前提・出典!$B$4)</f>
        <v/>
      </c>
      <c r="M3" s="6">
        <f>基礎データ!P3*(1+前提・出典!$B$2)+前提・出典!$B$3*(1+前提・出典!$B$4)</f>
        <v/>
      </c>
      <c r="N3" s="6">
        <f>基礎データ!Q3*(1+前提・出典!$B$2)+前提・出典!$B$3*(1+前提・出典!$B$4)</f>
        <v/>
      </c>
      <c r="O3" s="6">
        <f>基礎データ!R3*(1+前提・出典!$B$2)+前提・出典!$B$3*(1+前提・出典!$B$4)</f>
        <v/>
      </c>
      <c r="P3" s="6">
        <f>基礎データ!S3*(1+前提・出典!$B$2)+前提・出典!$B$3*(1+前提・出典!$B$4)</f>
        <v/>
      </c>
      <c r="Q3" s="6">
        <f>基礎データ!T3*(1+前提・出典!$B$2)+前提・出典!$B$3*(1+前提・出典!$B$4)</f>
        <v/>
      </c>
      <c r="R3" s="6">
        <f>基礎データ!U3*(1+前提・出典!$B$2)+前提・出典!$B$3*(1+前提・出典!$B$4)</f>
        <v/>
      </c>
      <c r="S3" s="6">
        <f>基礎データ!V3*(1+前提・出典!$B$2)+前提・出典!$B$3*(1+前提・出典!$B$4)</f>
        <v/>
      </c>
      <c r="T3" s="6">
        <f>基礎データ!W3*(1+前提・出典!$B$2)+前提・出典!$B$3*(1+前提・出典!$B$4)</f>
        <v/>
      </c>
      <c r="U3" s="6">
        <f>基礎データ!X3*(1+前提・出典!$B$2)+前提・出典!$B$3*(1+前提・出典!$B$4)</f>
        <v/>
      </c>
      <c r="V3" s="6">
        <f>基礎データ!Y3*(1+前提・出典!$B$2)+前提・出典!$B$3*(1+前提・出典!$B$4)</f>
        <v/>
      </c>
      <c r="W3" s="6">
        <f>基礎データ!Z3*(1+前提・出典!$B$2)+前提・出典!$B$3*(1+前提・出典!$B$4)</f>
        <v/>
      </c>
      <c r="X3" s="6">
        <f>基礎データ!AA3*(1+前提・出典!$B$2)+前提・出典!$B$3*(1+前提・出典!$B$4)</f>
        <v/>
      </c>
      <c r="Y3" s="6">
        <f>基礎データ!AB3*(1+前提・出典!$B$2)+前提・出典!$B$3*(1+前提・出典!$B$4)</f>
        <v/>
      </c>
      <c r="Z3" s="6">
        <f>基礎データ!AC3*(1+前提・出典!$B$2)+前提・出典!$B$3*(1+前提・出典!$B$4)</f>
        <v/>
      </c>
      <c r="AA3" s="6">
        <f>基礎データ!AD3*(1+前提・出典!$B$2)+前提・出典!$B$3*(1+前提・出典!$B$4)</f>
        <v/>
      </c>
      <c r="AB3" s="6">
        <f>基礎データ!AE3*(1+前提・出典!$B$2)+前提・出典!$B$3*(1+前提・出典!$B$4)</f>
        <v/>
      </c>
    </row>
    <row r="4">
      <c r="A4">
        <f>基礎データ!A4</f>
        <v/>
      </c>
      <c r="B4" s="6">
        <f>基礎データ!E4*(1+前提・出典!$B$2)+前提・出典!$B$3*(1+前提・出典!$B$4)</f>
        <v/>
      </c>
      <c r="C4" s="6">
        <f>基礎データ!F4*(1+前提・出典!$B$2)+前提・出典!$B$3*(1+前提・出典!$B$4)</f>
        <v/>
      </c>
      <c r="D4" s="6">
        <f>基礎データ!G4*(1+前提・出典!$B$2)+前提・出典!$B$3*(1+前提・出典!$B$4)</f>
        <v/>
      </c>
      <c r="E4" s="6">
        <f>基礎データ!H4*(1+前提・出典!$B$2)+前提・出典!$B$3*(1+前提・出典!$B$4)</f>
        <v/>
      </c>
      <c r="F4" s="6">
        <f>基礎データ!I4*(1+前提・出典!$B$2)+前提・出典!$B$3*(1+前提・出典!$B$4)</f>
        <v/>
      </c>
      <c r="G4" s="6">
        <f>基礎データ!J4*(1+前提・出典!$B$2)+前提・出典!$B$3*(1+前提・出典!$B$4)</f>
        <v/>
      </c>
      <c r="H4" s="6">
        <f>基礎データ!K4*(1+前提・出典!$B$2)+前提・出典!$B$3*(1+前提・出典!$B$4)</f>
        <v/>
      </c>
      <c r="I4" s="6">
        <f>基礎データ!L4*(1+前提・出典!$B$2)+前提・出典!$B$3*(1+前提・出典!$B$4)</f>
        <v/>
      </c>
      <c r="J4" s="6">
        <f>基礎データ!M4*(1+前提・出典!$B$2)+前提・出典!$B$3*(1+前提・出典!$B$4)</f>
        <v/>
      </c>
      <c r="K4" s="6">
        <f>基礎データ!N4*(1+前提・出典!$B$2)+前提・出典!$B$3*(1+前提・出典!$B$4)</f>
        <v/>
      </c>
      <c r="L4" s="6">
        <f>基礎データ!O4*(1+前提・出典!$B$2)+前提・出典!$B$3*(1+前提・出典!$B$4)</f>
        <v/>
      </c>
      <c r="M4" s="6">
        <f>基礎データ!P4*(1+前提・出典!$B$2)+前提・出典!$B$3*(1+前提・出典!$B$4)</f>
        <v/>
      </c>
      <c r="N4" s="6">
        <f>基礎データ!Q4*(1+前提・出典!$B$2)+前提・出典!$B$3*(1+前提・出典!$B$4)</f>
        <v/>
      </c>
      <c r="O4" s="6">
        <f>基礎データ!R4*(1+前提・出典!$B$2)+前提・出典!$B$3*(1+前提・出典!$B$4)</f>
        <v/>
      </c>
      <c r="P4" s="6">
        <f>基礎データ!S4*(1+前提・出典!$B$2)+前提・出典!$B$3*(1+前提・出典!$B$4)</f>
        <v/>
      </c>
      <c r="Q4" s="6">
        <f>基礎データ!T4*(1+前提・出典!$B$2)+前提・出典!$B$3*(1+前提・出典!$B$4)</f>
        <v/>
      </c>
      <c r="R4" s="6">
        <f>基礎データ!U4*(1+前提・出典!$B$2)+前提・出典!$B$3*(1+前提・出典!$B$4)</f>
        <v/>
      </c>
      <c r="S4" s="6">
        <f>基礎データ!V4*(1+前提・出典!$B$2)+前提・出典!$B$3*(1+前提・出典!$B$4)</f>
        <v/>
      </c>
      <c r="T4" s="6">
        <f>基礎データ!W4*(1+前提・出典!$B$2)+前提・出典!$B$3*(1+前提・出典!$B$4)</f>
        <v/>
      </c>
      <c r="U4" s="6">
        <f>基礎データ!X4*(1+前提・出典!$B$2)+前提・出典!$B$3*(1+前提・出典!$B$4)</f>
        <v/>
      </c>
      <c r="V4" s="6">
        <f>基礎データ!Y4*(1+前提・出典!$B$2)+前提・出典!$B$3*(1+前提・出典!$B$4)</f>
        <v/>
      </c>
      <c r="W4" s="6">
        <f>基礎データ!Z4*(1+前提・出典!$B$2)+前提・出典!$B$3*(1+前提・出典!$B$4)</f>
        <v/>
      </c>
      <c r="X4" s="6">
        <f>基礎データ!AA4*(1+前提・出典!$B$2)+前提・出典!$B$3*(1+前提・出典!$B$4)</f>
        <v/>
      </c>
      <c r="Y4" s="6">
        <f>基礎データ!AB4*(1+前提・出典!$B$2)+前提・出典!$B$3*(1+前提・出典!$B$4)</f>
        <v/>
      </c>
      <c r="Z4" s="6">
        <f>基礎データ!AC4*(1+前提・出典!$B$2)+前提・出典!$B$3*(1+前提・出典!$B$4)</f>
        <v/>
      </c>
      <c r="AA4" s="6">
        <f>基礎データ!AD4*(1+前提・出典!$B$2)+前提・出典!$B$3*(1+前提・出典!$B$4)</f>
        <v/>
      </c>
      <c r="AB4" s="6">
        <f>基礎データ!AE4*(1+前提・出典!$B$2)+前提・出典!$B$3*(1+前提・出典!$B$4)</f>
        <v/>
      </c>
    </row>
    <row r="5">
      <c r="A5">
        <f>基礎データ!A5</f>
        <v/>
      </c>
      <c r="B5" s="6">
        <f>基礎データ!E5*(1+前提・出典!$B$2)+前提・出典!$B$3*(1+前提・出典!$B$4)</f>
        <v/>
      </c>
      <c r="C5" s="6">
        <f>基礎データ!F5*(1+前提・出典!$B$2)+前提・出典!$B$3*(1+前提・出典!$B$4)</f>
        <v/>
      </c>
      <c r="D5" s="6">
        <f>基礎データ!G5*(1+前提・出典!$B$2)+前提・出典!$B$3*(1+前提・出典!$B$4)</f>
        <v/>
      </c>
      <c r="E5" s="6">
        <f>基礎データ!H5*(1+前提・出典!$B$2)+前提・出典!$B$3*(1+前提・出典!$B$4)</f>
        <v/>
      </c>
      <c r="F5" s="6">
        <f>基礎データ!I5*(1+前提・出典!$B$2)+前提・出典!$B$3*(1+前提・出典!$B$4)</f>
        <v/>
      </c>
      <c r="G5" s="6">
        <f>基礎データ!J5*(1+前提・出典!$B$2)+前提・出典!$B$3*(1+前提・出典!$B$4)</f>
        <v/>
      </c>
      <c r="H5" s="6">
        <f>基礎データ!K5*(1+前提・出典!$B$2)+前提・出典!$B$3*(1+前提・出典!$B$4)</f>
        <v/>
      </c>
      <c r="I5" s="6">
        <f>基礎データ!L5*(1+前提・出典!$B$2)+前提・出典!$B$3*(1+前提・出典!$B$4)</f>
        <v/>
      </c>
      <c r="J5" s="6">
        <f>基礎データ!M5*(1+前提・出典!$B$2)+前提・出典!$B$3*(1+前提・出典!$B$4)</f>
        <v/>
      </c>
      <c r="K5" s="6">
        <f>基礎データ!N5*(1+前提・出典!$B$2)+前提・出典!$B$3*(1+前提・出典!$B$4)</f>
        <v/>
      </c>
      <c r="L5" s="6">
        <f>基礎データ!O5*(1+前提・出典!$B$2)+前提・出典!$B$3*(1+前提・出典!$B$4)</f>
        <v/>
      </c>
      <c r="M5" s="6">
        <f>基礎データ!P5*(1+前提・出典!$B$2)+前提・出典!$B$3*(1+前提・出典!$B$4)</f>
        <v/>
      </c>
      <c r="N5" s="6">
        <f>基礎データ!Q5*(1+前提・出典!$B$2)+前提・出典!$B$3*(1+前提・出典!$B$4)</f>
        <v/>
      </c>
      <c r="O5" s="6">
        <f>基礎データ!R5*(1+前提・出典!$B$2)+前提・出典!$B$3*(1+前提・出典!$B$4)</f>
        <v/>
      </c>
      <c r="P5" s="6">
        <f>基礎データ!S5*(1+前提・出典!$B$2)+前提・出典!$B$3*(1+前提・出典!$B$4)</f>
        <v/>
      </c>
      <c r="Q5" s="6">
        <f>基礎データ!T5*(1+前提・出典!$B$2)+前提・出典!$B$3*(1+前提・出典!$B$4)</f>
        <v/>
      </c>
      <c r="R5" s="6">
        <f>基礎データ!U5*(1+前提・出典!$B$2)+前提・出典!$B$3*(1+前提・出典!$B$4)</f>
        <v/>
      </c>
      <c r="S5" s="6">
        <f>基礎データ!V5*(1+前提・出典!$B$2)+前提・出典!$B$3*(1+前提・出典!$B$4)</f>
        <v/>
      </c>
      <c r="T5" s="6">
        <f>基礎データ!W5*(1+前提・出典!$B$2)+前提・出典!$B$3*(1+前提・出典!$B$4)</f>
        <v/>
      </c>
      <c r="U5" s="6">
        <f>基礎データ!X5*(1+前提・出典!$B$2)+前提・出典!$B$3*(1+前提・出典!$B$4)</f>
        <v/>
      </c>
      <c r="V5" s="6">
        <f>基礎データ!Y5*(1+前提・出典!$B$2)+前提・出典!$B$3*(1+前提・出典!$B$4)</f>
        <v/>
      </c>
      <c r="W5" s="6">
        <f>基礎データ!Z5*(1+前提・出典!$B$2)+前提・出典!$B$3*(1+前提・出典!$B$4)</f>
        <v/>
      </c>
      <c r="X5" s="6">
        <f>基礎データ!AA5*(1+前提・出典!$B$2)+前提・出典!$B$3*(1+前提・出典!$B$4)</f>
        <v/>
      </c>
      <c r="Y5" s="6">
        <f>基礎データ!AB5*(1+前提・出典!$B$2)+前提・出典!$B$3*(1+前提・出典!$B$4)</f>
        <v/>
      </c>
      <c r="Z5" s="6">
        <f>基礎データ!AC5*(1+前提・出典!$B$2)+前提・出典!$B$3*(1+前提・出典!$B$4)</f>
        <v/>
      </c>
      <c r="AA5" s="6">
        <f>基礎データ!AD5*(1+前提・出典!$B$2)+前提・出典!$B$3*(1+前提・出典!$B$4)</f>
        <v/>
      </c>
      <c r="AB5" s="6">
        <f>基礎データ!AE5*(1+前提・出典!$B$2)+前提・出典!$B$3*(1+前提・出典!$B$4)</f>
        <v/>
      </c>
    </row>
    <row r="6">
      <c r="A6">
        <f>基礎データ!A6</f>
        <v/>
      </c>
      <c r="B6" s="6">
        <f>基礎データ!E6*(1+前提・出典!$B$2)+前提・出典!$B$3*(1+前提・出典!$B$4)</f>
        <v/>
      </c>
      <c r="C6" s="6">
        <f>基礎データ!F6*(1+前提・出典!$B$2)+前提・出典!$B$3*(1+前提・出典!$B$4)</f>
        <v/>
      </c>
      <c r="D6" s="6">
        <f>基礎データ!G6*(1+前提・出典!$B$2)+前提・出典!$B$3*(1+前提・出典!$B$4)</f>
        <v/>
      </c>
      <c r="E6" s="6">
        <f>基礎データ!H6*(1+前提・出典!$B$2)+前提・出典!$B$3*(1+前提・出典!$B$4)</f>
        <v/>
      </c>
      <c r="F6" s="6">
        <f>基礎データ!I6*(1+前提・出典!$B$2)+前提・出典!$B$3*(1+前提・出典!$B$4)</f>
        <v/>
      </c>
      <c r="G6" s="6">
        <f>基礎データ!J6*(1+前提・出典!$B$2)+前提・出典!$B$3*(1+前提・出典!$B$4)</f>
        <v/>
      </c>
      <c r="H6" s="6">
        <f>基礎データ!K6*(1+前提・出典!$B$2)+前提・出典!$B$3*(1+前提・出典!$B$4)</f>
        <v/>
      </c>
      <c r="I6" s="6">
        <f>基礎データ!L6*(1+前提・出典!$B$2)+前提・出典!$B$3*(1+前提・出典!$B$4)</f>
        <v/>
      </c>
      <c r="J6" s="6">
        <f>基礎データ!M6*(1+前提・出典!$B$2)+前提・出典!$B$3*(1+前提・出典!$B$4)</f>
        <v/>
      </c>
      <c r="K6" s="6">
        <f>基礎データ!N6*(1+前提・出典!$B$2)+前提・出典!$B$3*(1+前提・出典!$B$4)</f>
        <v/>
      </c>
      <c r="L6" s="6">
        <f>基礎データ!O6*(1+前提・出典!$B$2)+前提・出典!$B$3*(1+前提・出典!$B$4)</f>
        <v/>
      </c>
      <c r="M6" s="6">
        <f>基礎データ!P6*(1+前提・出典!$B$2)+前提・出典!$B$3*(1+前提・出典!$B$4)</f>
        <v/>
      </c>
      <c r="N6" s="6">
        <f>基礎データ!Q6*(1+前提・出典!$B$2)+前提・出典!$B$3*(1+前提・出典!$B$4)</f>
        <v/>
      </c>
      <c r="O6" s="6">
        <f>基礎データ!R6*(1+前提・出典!$B$2)+前提・出典!$B$3*(1+前提・出典!$B$4)</f>
        <v/>
      </c>
      <c r="P6" s="6">
        <f>基礎データ!S6*(1+前提・出典!$B$2)+前提・出典!$B$3*(1+前提・出典!$B$4)</f>
        <v/>
      </c>
      <c r="Q6" s="6">
        <f>基礎データ!T6*(1+前提・出典!$B$2)+前提・出典!$B$3*(1+前提・出典!$B$4)</f>
        <v/>
      </c>
      <c r="R6" s="6">
        <f>基礎データ!U6*(1+前提・出典!$B$2)+前提・出典!$B$3*(1+前提・出典!$B$4)</f>
        <v/>
      </c>
      <c r="S6" s="6">
        <f>基礎データ!V6*(1+前提・出典!$B$2)+前提・出典!$B$3*(1+前提・出典!$B$4)</f>
        <v/>
      </c>
      <c r="T6" s="6">
        <f>基礎データ!W6*(1+前提・出典!$B$2)+前提・出典!$B$3*(1+前提・出典!$B$4)</f>
        <v/>
      </c>
      <c r="U6" s="6">
        <f>基礎データ!X6*(1+前提・出典!$B$2)+前提・出典!$B$3*(1+前提・出典!$B$4)</f>
        <v/>
      </c>
      <c r="V6" s="6">
        <f>基礎データ!Y6*(1+前提・出典!$B$2)+前提・出典!$B$3*(1+前提・出典!$B$4)</f>
        <v/>
      </c>
      <c r="W6" s="6">
        <f>基礎データ!Z6*(1+前提・出典!$B$2)+前提・出典!$B$3*(1+前提・出典!$B$4)</f>
        <v/>
      </c>
      <c r="X6" s="6">
        <f>基礎データ!AA6*(1+前提・出典!$B$2)+前提・出典!$B$3*(1+前提・出典!$B$4)</f>
        <v/>
      </c>
      <c r="Y6" s="6">
        <f>基礎データ!AB6*(1+前提・出典!$B$2)+前提・出典!$B$3*(1+前提・出典!$B$4)</f>
        <v/>
      </c>
      <c r="Z6" s="6">
        <f>基礎データ!AC6*(1+前提・出典!$B$2)+前提・出典!$B$3*(1+前提・出典!$B$4)</f>
        <v/>
      </c>
      <c r="AA6" s="6">
        <f>基礎データ!AD6*(1+前提・出典!$B$2)+前提・出典!$B$3*(1+前提・出典!$B$4)</f>
        <v/>
      </c>
      <c r="AB6" s="6">
        <f>基礎データ!AE6*(1+前提・出典!$B$2)+前提・出典!$B$3*(1+前提・出典!$B$4)</f>
        <v/>
      </c>
    </row>
    <row r="7">
      <c r="A7">
        <f>基礎データ!A7</f>
        <v/>
      </c>
      <c r="B7" s="6">
        <f>基礎データ!E7*(1+前提・出典!$B$2)+前提・出典!$B$3*(1+前提・出典!$B$4)</f>
        <v/>
      </c>
      <c r="C7" s="6">
        <f>基礎データ!F7*(1+前提・出典!$B$2)+前提・出典!$B$3*(1+前提・出典!$B$4)</f>
        <v/>
      </c>
      <c r="D7" s="6">
        <f>基礎データ!G7*(1+前提・出典!$B$2)+前提・出典!$B$3*(1+前提・出典!$B$4)</f>
        <v/>
      </c>
      <c r="E7" s="6">
        <f>基礎データ!H7*(1+前提・出典!$B$2)+前提・出典!$B$3*(1+前提・出典!$B$4)</f>
        <v/>
      </c>
      <c r="F7" s="6">
        <f>基礎データ!I7*(1+前提・出典!$B$2)+前提・出典!$B$3*(1+前提・出典!$B$4)</f>
        <v/>
      </c>
      <c r="G7" s="6">
        <f>基礎データ!J7*(1+前提・出典!$B$2)+前提・出典!$B$3*(1+前提・出典!$B$4)</f>
        <v/>
      </c>
      <c r="H7" s="6">
        <f>基礎データ!K7*(1+前提・出典!$B$2)+前提・出典!$B$3*(1+前提・出典!$B$4)</f>
        <v/>
      </c>
      <c r="I7" s="6">
        <f>基礎データ!L7*(1+前提・出典!$B$2)+前提・出典!$B$3*(1+前提・出典!$B$4)</f>
        <v/>
      </c>
      <c r="J7" s="6">
        <f>基礎データ!M7*(1+前提・出典!$B$2)+前提・出典!$B$3*(1+前提・出典!$B$4)</f>
        <v/>
      </c>
      <c r="K7" s="6">
        <f>基礎データ!N7*(1+前提・出典!$B$2)+前提・出典!$B$3*(1+前提・出典!$B$4)</f>
        <v/>
      </c>
      <c r="L7" s="6">
        <f>基礎データ!O7*(1+前提・出典!$B$2)+前提・出典!$B$3*(1+前提・出典!$B$4)</f>
        <v/>
      </c>
      <c r="M7" s="6">
        <f>基礎データ!P7*(1+前提・出典!$B$2)+前提・出典!$B$3*(1+前提・出典!$B$4)</f>
        <v/>
      </c>
      <c r="N7" s="6">
        <f>基礎データ!Q7*(1+前提・出典!$B$2)+前提・出典!$B$3*(1+前提・出典!$B$4)</f>
        <v/>
      </c>
      <c r="O7" s="6">
        <f>基礎データ!R7*(1+前提・出典!$B$2)+前提・出典!$B$3*(1+前提・出典!$B$4)</f>
        <v/>
      </c>
      <c r="P7" s="6">
        <f>基礎データ!S7*(1+前提・出典!$B$2)+前提・出典!$B$3*(1+前提・出典!$B$4)</f>
        <v/>
      </c>
      <c r="Q7" s="6">
        <f>基礎データ!T7*(1+前提・出典!$B$2)+前提・出典!$B$3*(1+前提・出典!$B$4)</f>
        <v/>
      </c>
      <c r="R7" s="6">
        <f>基礎データ!U7*(1+前提・出典!$B$2)+前提・出典!$B$3*(1+前提・出典!$B$4)</f>
        <v/>
      </c>
      <c r="S7" s="6">
        <f>基礎データ!V7*(1+前提・出典!$B$2)+前提・出典!$B$3*(1+前提・出典!$B$4)</f>
        <v/>
      </c>
      <c r="T7" s="6">
        <f>基礎データ!W7*(1+前提・出典!$B$2)+前提・出典!$B$3*(1+前提・出典!$B$4)</f>
        <v/>
      </c>
      <c r="U7" s="6">
        <f>基礎データ!X7*(1+前提・出典!$B$2)+前提・出典!$B$3*(1+前提・出典!$B$4)</f>
        <v/>
      </c>
      <c r="V7" s="6">
        <f>基礎データ!Y7*(1+前提・出典!$B$2)+前提・出典!$B$3*(1+前提・出典!$B$4)</f>
        <v/>
      </c>
      <c r="W7" s="6">
        <f>基礎データ!Z7*(1+前提・出典!$B$2)+前提・出典!$B$3*(1+前提・出典!$B$4)</f>
        <v/>
      </c>
      <c r="X7" s="6">
        <f>基礎データ!AA7*(1+前提・出典!$B$2)+前提・出典!$B$3*(1+前提・出典!$B$4)</f>
        <v/>
      </c>
      <c r="Y7" s="6">
        <f>基礎データ!AB7*(1+前提・出典!$B$2)+前提・出典!$B$3*(1+前提・出典!$B$4)</f>
        <v/>
      </c>
      <c r="Z7" s="6">
        <f>基礎データ!AC7*(1+前提・出典!$B$2)+前提・出典!$B$3*(1+前提・出典!$B$4)</f>
        <v/>
      </c>
      <c r="AA7" s="6">
        <f>基礎データ!AD7*(1+前提・出典!$B$2)+前提・出典!$B$3*(1+前提・出典!$B$4)</f>
        <v/>
      </c>
      <c r="AB7" s="6">
        <f>基礎データ!AE7*(1+前提・出典!$B$2)+前提・出典!$B$3*(1+前提・出典!$B$4)</f>
        <v/>
      </c>
    </row>
    <row r="8">
      <c r="A8">
        <f>基礎データ!A8</f>
        <v/>
      </c>
      <c r="B8" s="6">
        <f>基礎データ!E8*(1+前提・出典!$B$2)+前提・出典!$B$3*(1+前提・出典!$B$4)</f>
        <v/>
      </c>
      <c r="C8" s="6">
        <f>基礎データ!F8*(1+前提・出典!$B$2)+前提・出典!$B$3*(1+前提・出典!$B$4)</f>
        <v/>
      </c>
      <c r="D8" s="6">
        <f>基礎データ!G8*(1+前提・出典!$B$2)+前提・出典!$B$3*(1+前提・出典!$B$4)</f>
        <v/>
      </c>
      <c r="E8" s="6">
        <f>基礎データ!H8*(1+前提・出典!$B$2)+前提・出典!$B$3*(1+前提・出典!$B$4)</f>
        <v/>
      </c>
      <c r="F8" s="6">
        <f>基礎データ!I8*(1+前提・出典!$B$2)+前提・出典!$B$3*(1+前提・出典!$B$4)</f>
        <v/>
      </c>
      <c r="G8" s="6">
        <f>基礎データ!J8*(1+前提・出典!$B$2)+前提・出典!$B$3*(1+前提・出典!$B$4)</f>
        <v/>
      </c>
      <c r="H8" s="6">
        <f>基礎データ!K8*(1+前提・出典!$B$2)+前提・出典!$B$3*(1+前提・出典!$B$4)</f>
        <v/>
      </c>
      <c r="I8" s="6">
        <f>基礎データ!L8*(1+前提・出典!$B$2)+前提・出典!$B$3*(1+前提・出典!$B$4)</f>
        <v/>
      </c>
      <c r="J8" s="6">
        <f>基礎データ!M8*(1+前提・出典!$B$2)+前提・出典!$B$3*(1+前提・出典!$B$4)</f>
        <v/>
      </c>
      <c r="K8" s="6">
        <f>基礎データ!N8*(1+前提・出典!$B$2)+前提・出典!$B$3*(1+前提・出典!$B$4)</f>
        <v/>
      </c>
      <c r="L8" s="6">
        <f>基礎データ!O8*(1+前提・出典!$B$2)+前提・出典!$B$3*(1+前提・出典!$B$4)</f>
        <v/>
      </c>
      <c r="M8" s="6">
        <f>基礎データ!P8*(1+前提・出典!$B$2)+前提・出典!$B$3*(1+前提・出典!$B$4)</f>
        <v/>
      </c>
      <c r="N8" s="6">
        <f>基礎データ!Q8*(1+前提・出典!$B$2)+前提・出典!$B$3*(1+前提・出典!$B$4)</f>
        <v/>
      </c>
      <c r="O8" s="6">
        <f>基礎データ!R8*(1+前提・出典!$B$2)+前提・出典!$B$3*(1+前提・出典!$B$4)</f>
        <v/>
      </c>
      <c r="P8" s="6">
        <f>基礎データ!S8*(1+前提・出典!$B$2)+前提・出典!$B$3*(1+前提・出典!$B$4)</f>
        <v/>
      </c>
      <c r="Q8" s="6">
        <f>基礎データ!T8*(1+前提・出典!$B$2)+前提・出典!$B$3*(1+前提・出典!$B$4)</f>
        <v/>
      </c>
      <c r="R8" s="6">
        <f>基礎データ!U8*(1+前提・出典!$B$2)+前提・出典!$B$3*(1+前提・出典!$B$4)</f>
        <v/>
      </c>
      <c r="S8" s="6">
        <f>基礎データ!V8*(1+前提・出典!$B$2)+前提・出典!$B$3*(1+前提・出典!$B$4)</f>
        <v/>
      </c>
      <c r="T8" s="6">
        <f>基礎データ!W8*(1+前提・出典!$B$2)+前提・出典!$B$3*(1+前提・出典!$B$4)</f>
        <v/>
      </c>
      <c r="U8" s="6">
        <f>基礎データ!X8*(1+前提・出典!$B$2)+前提・出典!$B$3*(1+前提・出典!$B$4)</f>
        <v/>
      </c>
      <c r="V8" s="6">
        <f>基礎データ!Y8*(1+前提・出典!$B$2)+前提・出典!$B$3*(1+前提・出典!$B$4)</f>
        <v/>
      </c>
      <c r="W8" s="6">
        <f>基礎データ!Z8*(1+前提・出典!$B$2)+前提・出典!$B$3*(1+前提・出典!$B$4)</f>
        <v/>
      </c>
      <c r="X8" s="6">
        <f>基礎データ!AA8*(1+前提・出典!$B$2)+前提・出典!$B$3*(1+前提・出典!$B$4)</f>
        <v/>
      </c>
      <c r="Y8" s="6">
        <f>基礎データ!AB8*(1+前提・出典!$B$2)+前提・出典!$B$3*(1+前提・出典!$B$4)</f>
        <v/>
      </c>
      <c r="Z8" s="6">
        <f>基礎データ!AC8*(1+前提・出典!$B$2)+前提・出典!$B$3*(1+前提・出典!$B$4)</f>
        <v/>
      </c>
      <c r="AA8" s="6">
        <f>基礎データ!AD8*(1+前提・出典!$B$2)+前提・出典!$B$3*(1+前提・出典!$B$4)</f>
        <v/>
      </c>
      <c r="AB8" s="6">
        <f>基礎データ!AE8*(1+前提・出典!$B$2)+前提・出典!$B$3*(1+前提・出典!$B$4)</f>
        <v/>
      </c>
    </row>
    <row r="9">
      <c r="A9">
        <f>基礎データ!A9</f>
        <v/>
      </c>
      <c r="B9" s="6">
        <f>基礎データ!E9*(1+前提・出典!$B$2)+前提・出典!$B$3*(1+前提・出典!$B$4)</f>
        <v/>
      </c>
      <c r="C9" s="6">
        <f>基礎データ!F9*(1+前提・出典!$B$2)+前提・出典!$B$3*(1+前提・出典!$B$4)</f>
        <v/>
      </c>
      <c r="D9" s="6">
        <f>基礎データ!G9*(1+前提・出典!$B$2)+前提・出典!$B$3*(1+前提・出典!$B$4)</f>
        <v/>
      </c>
      <c r="E9" s="6">
        <f>基礎データ!H9*(1+前提・出典!$B$2)+前提・出典!$B$3*(1+前提・出典!$B$4)</f>
        <v/>
      </c>
      <c r="F9" s="6">
        <f>基礎データ!I9*(1+前提・出典!$B$2)+前提・出典!$B$3*(1+前提・出典!$B$4)</f>
        <v/>
      </c>
      <c r="G9" s="6">
        <f>基礎データ!J9*(1+前提・出典!$B$2)+前提・出典!$B$3*(1+前提・出典!$B$4)</f>
        <v/>
      </c>
      <c r="H9" s="6">
        <f>基礎データ!K9*(1+前提・出典!$B$2)+前提・出典!$B$3*(1+前提・出典!$B$4)</f>
        <v/>
      </c>
      <c r="I9" s="6">
        <f>基礎データ!L9*(1+前提・出典!$B$2)+前提・出典!$B$3*(1+前提・出典!$B$4)</f>
        <v/>
      </c>
      <c r="J9" s="6">
        <f>基礎データ!M9*(1+前提・出典!$B$2)+前提・出典!$B$3*(1+前提・出典!$B$4)</f>
        <v/>
      </c>
      <c r="K9" s="6">
        <f>基礎データ!N9*(1+前提・出典!$B$2)+前提・出典!$B$3*(1+前提・出典!$B$4)</f>
        <v/>
      </c>
      <c r="L9" s="6">
        <f>基礎データ!O9*(1+前提・出典!$B$2)+前提・出典!$B$3*(1+前提・出典!$B$4)</f>
        <v/>
      </c>
      <c r="M9" s="6">
        <f>基礎データ!P9*(1+前提・出典!$B$2)+前提・出典!$B$3*(1+前提・出典!$B$4)</f>
        <v/>
      </c>
      <c r="N9" s="6">
        <f>基礎データ!Q9*(1+前提・出典!$B$2)+前提・出典!$B$3*(1+前提・出典!$B$4)</f>
        <v/>
      </c>
      <c r="O9" s="6">
        <f>基礎データ!R9*(1+前提・出典!$B$2)+前提・出典!$B$3*(1+前提・出典!$B$4)</f>
        <v/>
      </c>
      <c r="P9" s="6">
        <f>基礎データ!S9*(1+前提・出典!$B$2)+前提・出典!$B$3*(1+前提・出典!$B$4)</f>
        <v/>
      </c>
      <c r="Q9" s="6">
        <f>基礎データ!T9*(1+前提・出典!$B$2)+前提・出典!$B$3*(1+前提・出典!$B$4)</f>
        <v/>
      </c>
      <c r="R9" s="6">
        <f>基礎データ!U9*(1+前提・出典!$B$2)+前提・出典!$B$3*(1+前提・出典!$B$4)</f>
        <v/>
      </c>
      <c r="S9" s="6">
        <f>基礎データ!V9*(1+前提・出典!$B$2)+前提・出典!$B$3*(1+前提・出典!$B$4)</f>
        <v/>
      </c>
      <c r="T9" s="6">
        <f>基礎データ!W9*(1+前提・出典!$B$2)+前提・出典!$B$3*(1+前提・出典!$B$4)</f>
        <v/>
      </c>
      <c r="U9" s="6">
        <f>基礎データ!X9*(1+前提・出典!$B$2)+前提・出典!$B$3*(1+前提・出典!$B$4)</f>
        <v/>
      </c>
      <c r="V9" s="6">
        <f>基礎データ!Y9*(1+前提・出典!$B$2)+前提・出典!$B$3*(1+前提・出典!$B$4)</f>
        <v/>
      </c>
      <c r="W9" s="6">
        <f>基礎データ!Z9*(1+前提・出典!$B$2)+前提・出典!$B$3*(1+前提・出典!$B$4)</f>
        <v/>
      </c>
      <c r="X9" s="6">
        <f>基礎データ!AA9*(1+前提・出典!$B$2)+前提・出典!$B$3*(1+前提・出典!$B$4)</f>
        <v/>
      </c>
      <c r="Y9" s="6">
        <f>基礎データ!AB9*(1+前提・出典!$B$2)+前提・出典!$B$3*(1+前提・出典!$B$4)</f>
        <v/>
      </c>
      <c r="Z9" s="6">
        <f>基礎データ!AC9*(1+前提・出典!$B$2)+前提・出典!$B$3*(1+前提・出典!$B$4)</f>
        <v/>
      </c>
      <c r="AA9" s="6">
        <f>基礎データ!AD9*(1+前提・出典!$B$2)+前提・出典!$B$3*(1+前提・出典!$B$4)</f>
        <v/>
      </c>
      <c r="AB9" s="6">
        <f>基礎データ!AE9*(1+前提・出典!$B$2)+前提・出典!$B$3*(1+前提・出典!$B$4)</f>
        <v/>
      </c>
    </row>
    <row r="10">
      <c r="A10">
        <f>基礎データ!A10</f>
        <v/>
      </c>
      <c r="B10" s="6">
        <f>基礎データ!E10*(1+前提・出典!$B$2)+前提・出典!$B$3*(1+前提・出典!$B$4)</f>
        <v/>
      </c>
      <c r="C10" s="6">
        <f>基礎データ!F10*(1+前提・出典!$B$2)+前提・出典!$B$3*(1+前提・出典!$B$4)</f>
        <v/>
      </c>
      <c r="D10" s="6">
        <f>基礎データ!G10*(1+前提・出典!$B$2)+前提・出典!$B$3*(1+前提・出典!$B$4)</f>
        <v/>
      </c>
      <c r="E10" s="6">
        <f>基礎データ!H10*(1+前提・出典!$B$2)+前提・出典!$B$3*(1+前提・出典!$B$4)</f>
        <v/>
      </c>
      <c r="F10" s="6">
        <f>基礎データ!I10*(1+前提・出典!$B$2)+前提・出典!$B$3*(1+前提・出典!$B$4)</f>
        <v/>
      </c>
      <c r="G10" s="6">
        <f>基礎データ!J10*(1+前提・出典!$B$2)+前提・出典!$B$3*(1+前提・出典!$B$4)</f>
        <v/>
      </c>
      <c r="H10" s="6">
        <f>基礎データ!K10*(1+前提・出典!$B$2)+前提・出典!$B$3*(1+前提・出典!$B$4)</f>
        <v/>
      </c>
      <c r="I10" s="6">
        <f>基礎データ!L10*(1+前提・出典!$B$2)+前提・出典!$B$3*(1+前提・出典!$B$4)</f>
        <v/>
      </c>
      <c r="J10" s="6">
        <f>基礎データ!M10*(1+前提・出典!$B$2)+前提・出典!$B$3*(1+前提・出典!$B$4)</f>
        <v/>
      </c>
      <c r="K10" s="6">
        <f>基礎データ!N10*(1+前提・出典!$B$2)+前提・出典!$B$3*(1+前提・出典!$B$4)</f>
        <v/>
      </c>
      <c r="L10" s="6">
        <f>基礎データ!O10*(1+前提・出典!$B$2)+前提・出典!$B$3*(1+前提・出典!$B$4)</f>
        <v/>
      </c>
      <c r="M10" s="6">
        <f>基礎データ!P10*(1+前提・出典!$B$2)+前提・出典!$B$3*(1+前提・出典!$B$4)</f>
        <v/>
      </c>
      <c r="N10" s="6">
        <f>基礎データ!Q10*(1+前提・出典!$B$2)+前提・出典!$B$3*(1+前提・出典!$B$4)</f>
        <v/>
      </c>
      <c r="O10" s="6">
        <f>基礎データ!R10*(1+前提・出典!$B$2)+前提・出典!$B$3*(1+前提・出典!$B$4)</f>
        <v/>
      </c>
      <c r="P10" s="6">
        <f>基礎データ!S10*(1+前提・出典!$B$2)+前提・出典!$B$3*(1+前提・出典!$B$4)</f>
        <v/>
      </c>
      <c r="Q10" s="6">
        <f>基礎データ!T10*(1+前提・出典!$B$2)+前提・出典!$B$3*(1+前提・出典!$B$4)</f>
        <v/>
      </c>
      <c r="R10" s="6">
        <f>基礎データ!U10*(1+前提・出典!$B$2)+前提・出典!$B$3*(1+前提・出典!$B$4)</f>
        <v/>
      </c>
      <c r="S10" s="6">
        <f>基礎データ!V10*(1+前提・出典!$B$2)+前提・出典!$B$3*(1+前提・出典!$B$4)</f>
        <v/>
      </c>
      <c r="T10" s="6">
        <f>基礎データ!W10*(1+前提・出典!$B$2)+前提・出典!$B$3*(1+前提・出典!$B$4)</f>
        <v/>
      </c>
      <c r="U10" s="6">
        <f>基礎データ!X10*(1+前提・出典!$B$2)+前提・出典!$B$3*(1+前提・出典!$B$4)</f>
        <v/>
      </c>
      <c r="V10" s="6">
        <f>基礎データ!Y10*(1+前提・出典!$B$2)+前提・出典!$B$3*(1+前提・出典!$B$4)</f>
        <v/>
      </c>
      <c r="W10" s="6">
        <f>基礎データ!Z10*(1+前提・出典!$B$2)+前提・出典!$B$3*(1+前提・出典!$B$4)</f>
        <v/>
      </c>
      <c r="X10" s="6">
        <f>基礎データ!AA10*(1+前提・出典!$B$2)+前提・出典!$B$3*(1+前提・出典!$B$4)</f>
        <v/>
      </c>
      <c r="Y10" s="6">
        <f>基礎データ!AB10*(1+前提・出典!$B$2)+前提・出典!$B$3*(1+前提・出典!$B$4)</f>
        <v/>
      </c>
      <c r="Z10" s="6">
        <f>基礎データ!AC10*(1+前提・出典!$B$2)+前提・出典!$B$3*(1+前提・出典!$B$4)</f>
        <v/>
      </c>
      <c r="AA10" s="6">
        <f>基礎データ!AD10*(1+前提・出典!$B$2)+前提・出典!$B$3*(1+前提・出典!$B$4)</f>
        <v/>
      </c>
      <c r="AB10" s="6">
        <f>基礎データ!AE10*(1+前提・出典!$B$2)+前提・出典!$B$3*(1+前提・出典!$B$4)</f>
        <v/>
      </c>
    </row>
    <row r="11">
      <c r="A11">
        <f>基礎データ!A11</f>
        <v/>
      </c>
      <c r="B11" s="6">
        <f>基礎データ!E11*(1+前提・出典!$B$2)+前提・出典!$B$3*(1+前提・出典!$B$4)</f>
        <v/>
      </c>
      <c r="C11" s="6">
        <f>基礎データ!F11*(1+前提・出典!$B$2)+前提・出典!$B$3*(1+前提・出典!$B$4)</f>
        <v/>
      </c>
      <c r="D11" s="6">
        <f>基礎データ!G11*(1+前提・出典!$B$2)+前提・出典!$B$3*(1+前提・出典!$B$4)</f>
        <v/>
      </c>
      <c r="E11" s="6">
        <f>基礎データ!H11*(1+前提・出典!$B$2)+前提・出典!$B$3*(1+前提・出典!$B$4)</f>
        <v/>
      </c>
      <c r="F11" s="6">
        <f>基礎データ!I11*(1+前提・出典!$B$2)+前提・出典!$B$3*(1+前提・出典!$B$4)</f>
        <v/>
      </c>
      <c r="G11" s="6">
        <f>基礎データ!J11*(1+前提・出典!$B$2)+前提・出典!$B$3*(1+前提・出典!$B$4)</f>
        <v/>
      </c>
      <c r="H11" s="6">
        <f>基礎データ!K11*(1+前提・出典!$B$2)+前提・出典!$B$3*(1+前提・出典!$B$4)</f>
        <v/>
      </c>
      <c r="I11" s="6">
        <f>基礎データ!L11*(1+前提・出典!$B$2)+前提・出典!$B$3*(1+前提・出典!$B$4)</f>
        <v/>
      </c>
      <c r="J11" s="6">
        <f>基礎データ!M11*(1+前提・出典!$B$2)+前提・出典!$B$3*(1+前提・出典!$B$4)</f>
        <v/>
      </c>
      <c r="K11" s="6">
        <f>基礎データ!N11*(1+前提・出典!$B$2)+前提・出典!$B$3*(1+前提・出典!$B$4)</f>
        <v/>
      </c>
      <c r="L11" s="6">
        <f>基礎データ!O11*(1+前提・出典!$B$2)+前提・出典!$B$3*(1+前提・出典!$B$4)</f>
        <v/>
      </c>
      <c r="M11" s="6">
        <f>基礎データ!P11*(1+前提・出典!$B$2)+前提・出典!$B$3*(1+前提・出典!$B$4)</f>
        <v/>
      </c>
      <c r="N11" s="6">
        <f>基礎データ!Q11*(1+前提・出典!$B$2)+前提・出典!$B$3*(1+前提・出典!$B$4)</f>
        <v/>
      </c>
      <c r="O11" s="6">
        <f>基礎データ!R11*(1+前提・出典!$B$2)+前提・出典!$B$3*(1+前提・出典!$B$4)</f>
        <v/>
      </c>
      <c r="P11" s="6">
        <f>基礎データ!S11*(1+前提・出典!$B$2)+前提・出典!$B$3*(1+前提・出典!$B$4)</f>
        <v/>
      </c>
      <c r="Q11" s="6">
        <f>基礎データ!T11*(1+前提・出典!$B$2)+前提・出典!$B$3*(1+前提・出典!$B$4)</f>
        <v/>
      </c>
      <c r="R11" s="6">
        <f>基礎データ!U11*(1+前提・出典!$B$2)+前提・出典!$B$3*(1+前提・出典!$B$4)</f>
        <v/>
      </c>
      <c r="S11" s="6">
        <f>基礎データ!V11*(1+前提・出典!$B$2)+前提・出典!$B$3*(1+前提・出典!$B$4)</f>
        <v/>
      </c>
      <c r="T11" s="6">
        <f>基礎データ!W11*(1+前提・出典!$B$2)+前提・出典!$B$3*(1+前提・出典!$B$4)</f>
        <v/>
      </c>
      <c r="U11" s="6">
        <f>基礎データ!X11*(1+前提・出典!$B$2)+前提・出典!$B$3*(1+前提・出典!$B$4)</f>
        <v/>
      </c>
      <c r="V11" s="6">
        <f>基礎データ!Y11*(1+前提・出典!$B$2)+前提・出典!$B$3*(1+前提・出典!$B$4)</f>
        <v/>
      </c>
      <c r="W11" s="6">
        <f>基礎データ!Z11*(1+前提・出典!$B$2)+前提・出典!$B$3*(1+前提・出典!$B$4)</f>
        <v/>
      </c>
      <c r="X11" s="6">
        <f>基礎データ!AA11*(1+前提・出典!$B$2)+前提・出典!$B$3*(1+前提・出典!$B$4)</f>
        <v/>
      </c>
      <c r="Y11" s="6">
        <f>基礎データ!AB11*(1+前提・出典!$B$2)+前提・出典!$B$3*(1+前提・出典!$B$4)</f>
        <v/>
      </c>
      <c r="Z11" s="6">
        <f>基礎データ!AC11*(1+前提・出典!$B$2)+前提・出典!$B$3*(1+前提・出典!$B$4)</f>
        <v/>
      </c>
      <c r="AA11" s="6">
        <f>基礎データ!AD11*(1+前提・出典!$B$2)+前提・出典!$B$3*(1+前提・出典!$B$4)</f>
        <v/>
      </c>
      <c r="AB11" s="6">
        <f>基礎データ!AE11*(1+前提・出典!$B$2)+前提・出典!$B$3*(1+前提・出典!$B$4)</f>
        <v/>
      </c>
    </row>
    <row r="12">
      <c r="A12">
        <f>基礎データ!A12</f>
        <v/>
      </c>
      <c r="B12" s="6">
        <f>基礎データ!E12*(1+前提・出典!$B$2)+前提・出典!$B$3*(1+前提・出典!$B$4)</f>
        <v/>
      </c>
      <c r="C12" s="6">
        <f>基礎データ!F12*(1+前提・出典!$B$2)+前提・出典!$B$3*(1+前提・出典!$B$4)</f>
        <v/>
      </c>
      <c r="D12" s="6">
        <f>基礎データ!G12*(1+前提・出典!$B$2)+前提・出典!$B$3*(1+前提・出典!$B$4)</f>
        <v/>
      </c>
      <c r="E12" s="6">
        <f>基礎データ!H12*(1+前提・出典!$B$2)+前提・出典!$B$3*(1+前提・出典!$B$4)</f>
        <v/>
      </c>
      <c r="F12" s="6">
        <f>基礎データ!I12*(1+前提・出典!$B$2)+前提・出典!$B$3*(1+前提・出典!$B$4)</f>
        <v/>
      </c>
      <c r="G12" s="6">
        <f>基礎データ!J12*(1+前提・出典!$B$2)+前提・出典!$B$3*(1+前提・出典!$B$4)</f>
        <v/>
      </c>
      <c r="H12" s="6">
        <f>基礎データ!K12*(1+前提・出典!$B$2)+前提・出典!$B$3*(1+前提・出典!$B$4)</f>
        <v/>
      </c>
      <c r="I12" s="6">
        <f>基礎データ!L12*(1+前提・出典!$B$2)+前提・出典!$B$3*(1+前提・出典!$B$4)</f>
        <v/>
      </c>
      <c r="J12" s="6">
        <f>基礎データ!M12*(1+前提・出典!$B$2)+前提・出典!$B$3*(1+前提・出典!$B$4)</f>
        <v/>
      </c>
      <c r="K12" s="6">
        <f>基礎データ!N12*(1+前提・出典!$B$2)+前提・出典!$B$3*(1+前提・出典!$B$4)</f>
        <v/>
      </c>
      <c r="L12" s="6">
        <f>基礎データ!O12*(1+前提・出典!$B$2)+前提・出典!$B$3*(1+前提・出典!$B$4)</f>
        <v/>
      </c>
      <c r="M12" s="6">
        <f>基礎データ!P12*(1+前提・出典!$B$2)+前提・出典!$B$3*(1+前提・出典!$B$4)</f>
        <v/>
      </c>
      <c r="N12" s="6">
        <f>基礎データ!Q12*(1+前提・出典!$B$2)+前提・出典!$B$3*(1+前提・出典!$B$4)</f>
        <v/>
      </c>
      <c r="O12" s="6">
        <f>基礎データ!R12*(1+前提・出典!$B$2)+前提・出典!$B$3*(1+前提・出典!$B$4)</f>
        <v/>
      </c>
      <c r="P12" s="6">
        <f>基礎データ!S12*(1+前提・出典!$B$2)+前提・出典!$B$3*(1+前提・出典!$B$4)</f>
        <v/>
      </c>
      <c r="Q12" s="6">
        <f>基礎データ!T12*(1+前提・出典!$B$2)+前提・出典!$B$3*(1+前提・出典!$B$4)</f>
        <v/>
      </c>
      <c r="R12" s="6">
        <f>基礎データ!U12*(1+前提・出典!$B$2)+前提・出典!$B$3*(1+前提・出典!$B$4)</f>
        <v/>
      </c>
      <c r="S12" s="6">
        <f>基礎データ!V12*(1+前提・出典!$B$2)+前提・出典!$B$3*(1+前提・出典!$B$4)</f>
        <v/>
      </c>
      <c r="T12" s="6">
        <f>基礎データ!W12*(1+前提・出典!$B$2)+前提・出典!$B$3*(1+前提・出典!$B$4)</f>
        <v/>
      </c>
      <c r="U12" s="6">
        <f>基礎データ!X12*(1+前提・出典!$B$2)+前提・出典!$B$3*(1+前提・出典!$B$4)</f>
        <v/>
      </c>
      <c r="V12" s="6">
        <f>基礎データ!Y12*(1+前提・出典!$B$2)+前提・出典!$B$3*(1+前提・出典!$B$4)</f>
        <v/>
      </c>
      <c r="W12" s="6">
        <f>基礎データ!Z12*(1+前提・出典!$B$2)+前提・出典!$B$3*(1+前提・出典!$B$4)</f>
        <v/>
      </c>
      <c r="X12" s="6">
        <f>基礎データ!AA12*(1+前提・出典!$B$2)+前提・出典!$B$3*(1+前提・出典!$B$4)</f>
        <v/>
      </c>
      <c r="Y12" s="6">
        <f>基礎データ!AB12*(1+前提・出典!$B$2)+前提・出典!$B$3*(1+前提・出典!$B$4)</f>
        <v/>
      </c>
      <c r="Z12" s="6">
        <f>基礎データ!AC12*(1+前提・出典!$B$2)+前提・出典!$B$3*(1+前提・出典!$B$4)</f>
        <v/>
      </c>
      <c r="AA12" s="6">
        <f>基礎データ!AD12*(1+前提・出典!$B$2)+前提・出典!$B$3*(1+前提・出典!$B$4)</f>
        <v/>
      </c>
      <c r="AB12" s="6">
        <f>基礎データ!AE12*(1+前提・出典!$B$2)+前提・出典!$B$3*(1+前提・出典!$B$4)</f>
        <v/>
      </c>
    </row>
    <row r="13">
      <c r="A13">
        <f>基礎データ!A13</f>
        <v/>
      </c>
      <c r="B13" s="6">
        <f>基礎データ!E13*(1+前提・出典!$B$2)+前提・出典!$B$3*(1+前提・出典!$B$4)</f>
        <v/>
      </c>
      <c r="C13" s="6">
        <f>基礎データ!F13*(1+前提・出典!$B$2)+前提・出典!$B$3*(1+前提・出典!$B$4)</f>
        <v/>
      </c>
      <c r="D13" s="6">
        <f>基礎データ!G13*(1+前提・出典!$B$2)+前提・出典!$B$3*(1+前提・出典!$B$4)</f>
        <v/>
      </c>
      <c r="E13" s="6">
        <f>基礎データ!H13*(1+前提・出典!$B$2)+前提・出典!$B$3*(1+前提・出典!$B$4)</f>
        <v/>
      </c>
      <c r="F13" s="6">
        <f>基礎データ!I13*(1+前提・出典!$B$2)+前提・出典!$B$3*(1+前提・出典!$B$4)</f>
        <v/>
      </c>
      <c r="G13" s="6">
        <f>基礎データ!J13*(1+前提・出典!$B$2)+前提・出典!$B$3*(1+前提・出典!$B$4)</f>
        <v/>
      </c>
      <c r="H13" s="6">
        <f>基礎データ!K13*(1+前提・出典!$B$2)+前提・出典!$B$3*(1+前提・出典!$B$4)</f>
        <v/>
      </c>
      <c r="I13" s="6">
        <f>基礎データ!L13*(1+前提・出典!$B$2)+前提・出典!$B$3*(1+前提・出典!$B$4)</f>
        <v/>
      </c>
      <c r="J13" s="6">
        <f>基礎データ!M13*(1+前提・出典!$B$2)+前提・出典!$B$3*(1+前提・出典!$B$4)</f>
        <v/>
      </c>
      <c r="K13" s="6">
        <f>基礎データ!N13*(1+前提・出典!$B$2)+前提・出典!$B$3*(1+前提・出典!$B$4)</f>
        <v/>
      </c>
      <c r="L13" s="6">
        <f>基礎データ!O13*(1+前提・出典!$B$2)+前提・出典!$B$3*(1+前提・出典!$B$4)</f>
        <v/>
      </c>
      <c r="M13" s="6">
        <f>基礎データ!P13*(1+前提・出典!$B$2)+前提・出典!$B$3*(1+前提・出典!$B$4)</f>
        <v/>
      </c>
      <c r="N13" s="6">
        <f>基礎データ!Q13*(1+前提・出典!$B$2)+前提・出典!$B$3*(1+前提・出典!$B$4)</f>
        <v/>
      </c>
      <c r="O13" s="6">
        <f>基礎データ!R13*(1+前提・出典!$B$2)+前提・出典!$B$3*(1+前提・出典!$B$4)</f>
        <v/>
      </c>
      <c r="P13" s="6">
        <f>基礎データ!S13*(1+前提・出典!$B$2)+前提・出典!$B$3*(1+前提・出典!$B$4)</f>
        <v/>
      </c>
      <c r="Q13" s="6">
        <f>基礎データ!T13*(1+前提・出典!$B$2)+前提・出典!$B$3*(1+前提・出典!$B$4)</f>
        <v/>
      </c>
      <c r="R13" s="6">
        <f>基礎データ!U13*(1+前提・出典!$B$2)+前提・出典!$B$3*(1+前提・出典!$B$4)</f>
        <v/>
      </c>
      <c r="S13" s="6">
        <f>基礎データ!V13*(1+前提・出典!$B$2)+前提・出典!$B$3*(1+前提・出典!$B$4)</f>
        <v/>
      </c>
      <c r="T13" s="6">
        <f>基礎データ!W13*(1+前提・出典!$B$2)+前提・出典!$B$3*(1+前提・出典!$B$4)</f>
        <v/>
      </c>
      <c r="U13" s="6">
        <f>基礎データ!X13*(1+前提・出典!$B$2)+前提・出典!$B$3*(1+前提・出典!$B$4)</f>
        <v/>
      </c>
      <c r="V13" s="6">
        <f>基礎データ!Y13*(1+前提・出典!$B$2)+前提・出典!$B$3*(1+前提・出典!$B$4)</f>
        <v/>
      </c>
      <c r="W13" s="6">
        <f>基礎データ!Z13*(1+前提・出典!$B$2)+前提・出典!$B$3*(1+前提・出典!$B$4)</f>
        <v/>
      </c>
      <c r="X13" s="6">
        <f>基礎データ!AA13*(1+前提・出典!$B$2)+前提・出典!$B$3*(1+前提・出典!$B$4)</f>
        <v/>
      </c>
      <c r="Y13" s="6">
        <f>基礎データ!AB13*(1+前提・出典!$B$2)+前提・出典!$B$3*(1+前提・出典!$B$4)</f>
        <v/>
      </c>
      <c r="Z13" s="6">
        <f>基礎データ!AC13*(1+前提・出典!$B$2)+前提・出典!$B$3*(1+前提・出典!$B$4)</f>
        <v/>
      </c>
      <c r="AA13" s="6">
        <f>基礎データ!AD13*(1+前提・出典!$B$2)+前提・出典!$B$3*(1+前提・出典!$B$4)</f>
        <v/>
      </c>
      <c r="AB13" s="6">
        <f>基礎データ!AE13*(1+前提・出典!$B$2)+前提・出典!$B$3*(1+前提・出典!$B$4)</f>
        <v/>
      </c>
    </row>
    <row r="14">
      <c r="A14">
        <f>基礎データ!A14</f>
        <v/>
      </c>
      <c r="B14" s="6">
        <f>基礎データ!E14*(1+前提・出典!$B$2)+前提・出典!$B$3*(1+前提・出典!$B$4)</f>
        <v/>
      </c>
      <c r="C14" s="6">
        <f>基礎データ!F14*(1+前提・出典!$B$2)+前提・出典!$B$3*(1+前提・出典!$B$4)</f>
        <v/>
      </c>
      <c r="D14" s="6">
        <f>基礎データ!G14*(1+前提・出典!$B$2)+前提・出典!$B$3*(1+前提・出典!$B$4)</f>
        <v/>
      </c>
      <c r="E14" s="6">
        <f>基礎データ!H14*(1+前提・出典!$B$2)+前提・出典!$B$3*(1+前提・出典!$B$4)</f>
        <v/>
      </c>
      <c r="F14" s="6">
        <f>基礎データ!I14*(1+前提・出典!$B$2)+前提・出典!$B$3*(1+前提・出典!$B$4)</f>
        <v/>
      </c>
      <c r="G14" s="6">
        <f>基礎データ!J14*(1+前提・出典!$B$2)+前提・出典!$B$3*(1+前提・出典!$B$4)</f>
        <v/>
      </c>
      <c r="H14" s="6">
        <f>基礎データ!K14*(1+前提・出典!$B$2)+前提・出典!$B$3*(1+前提・出典!$B$4)</f>
        <v/>
      </c>
      <c r="I14" s="6">
        <f>基礎データ!L14*(1+前提・出典!$B$2)+前提・出典!$B$3*(1+前提・出典!$B$4)</f>
        <v/>
      </c>
      <c r="J14" s="6">
        <f>基礎データ!M14*(1+前提・出典!$B$2)+前提・出典!$B$3*(1+前提・出典!$B$4)</f>
        <v/>
      </c>
      <c r="K14" s="6">
        <f>基礎データ!N14*(1+前提・出典!$B$2)+前提・出典!$B$3*(1+前提・出典!$B$4)</f>
        <v/>
      </c>
      <c r="L14" s="6">
        <f>基礎データ!O14*(1+前提・出典!$B$2)+前提・出典!$B$3*(1+前提・出典!$B$4)</f>
        <v/>
      </c>
      <c r="M14" s="6">
        <f>基礎データ!P14*(1+前提・出典!$B$2)+前提・出典!$B$3*(1+前提・出典!$B$4)</f>
        <v/>
      </c>
      <c r="N14" s="6">
        <f>基礎データ!Q14*(1+前提・出典!$B$2)+前提・出典!$B$3*(1+前提・出典!$B$4)</f>
        <v/>
      </c>
      <c r="O14" s="6">
        <f>基礎データ!R14*(1+前提・出典!$B$2)+前提・出典!$B$3*(1+前提・出典!$B$4)</f>
        <v/>
      </c>
      <c r="P14" s="6">
        <f>基礎データ!S14*(1+前提・出典!$B$2)+前提・出典!$B$3*(1+前提・出典!$B$4)</f>
        <v/>
      </c>
      <c r="Q14" s="6">
        <f>基礎データ!T14*(1+前提・出典!$B$2)+前提・出典!$B$3*(1+前提・出典!$B$4)</f>
        <v/>
      </c>
      <c r="R14" s="6">
        <f>基礎データ!U14*(1+前提・出典!$B$2)+前提・出典!$B$3*(1+前提・出典!$B$4)</f>
        <v/>
      </c>
      <c r="S14" s="6">
        <f>基礎データ!V14*(1+前提・出典!$B$2)+前提・出典!$B$3*(1+前提・出典!$B$4)</f>
        <v/>
      </c>
      <c r="T14" s="6">
        <f>基礎データ!W14*(1+前提・出典!$B$2)+前提・出典!$B$3*(1+前提・出典!$B$4)</f>
        <v/>
      </c>
      <c r="U14" s="6">
        <f>基礎データ!X14*(1+前提・出典!$B$2)+前提・出典!$B$3*(1+前提・出典!$B$4)</f>
        <v/>
      </c>
      <c r="V14" s="6">
        <f>基礎データ!Y14*(1+前提・出典!$B$2)+前提・出典!$B$3*(1+前提・出典!$B$4)</f>
        <v/>
      </c>
      <c r="W14" s="6">
        <f>基礎データ!Z14*(1+前提・出典!$B$2)+前提・出典!$B$3*(1+前提・出典!$B$4)</f>
        <v/>
      </c>
      <c r="X14" s="6">
        <f>基礎データ!AA14*(1+前提・出典!$B$2)+前提・出典!$B$3*(1+前提・出典!$B$4)</f>
        <v/>
      </c>
      <c r="Y14" s="6">
        <f>基礎データ!AB14*(1+前提・出典!$B$2)+前提・出典!$B$3*(1+前提・出典!$B$4)</f>
        <v/>
      </c>
      <c r="Z14" s="6">
        <f>基礎データ!AC14*(1+前提・出典!$B$2)+前提・出典!$B$3*(1+前提・出典!$B$4)</f>
        <v/>
      </c>
      <c r="AA14" s="6">
        <f>基礎データ!AD14*(1+前提・出典!$B$2)+前提・出典!$B$3*(1+前提・出典!$B$4)</f>
        <v/>
      </c>
      <c r="AB14" s="6">
        <f>基礎データ!AE14*(1+前提・出典!$B$2)+前提・出典!$B$3*(1+前提・出典!$B$4)</f>
        <v/>
      </c>
    </row>
    <row r="15">
      <c r="A15">
        <f>基礎データ!A15</f>
        <v/>
      </c>
      <c r="B15" s="6">
        <f>基礎データ!E15*(1+前提・出典!$B$2)+前提・出典!$B$3*(1+前提・出典!$B$4)</f>
        <v/>
      </c>
      <c r="C15" s="6">
        <f>基礎データ!F15*(1+前提・出典!$B$2)+前提・出典!$B$3*(1+前提・出典!$B$4)</f>
        <v/>
      </c>
      <c r="D15" s="6">
        <f>基礎データ!G15*(1+前提・出典!$B$2)+前提・出典!$B$3*(1+前提・出典!$B$4)</f>
        <v/>
      </c>
      <c r="E15" s="6">
        <f>基礎データ!H15*(1+前提・出典!$B$2)+前提・出典!$B$3*(1+前提・出典!$B$4)</f>
        <v/>
      </c>
      <c r="F15" s="6">
        <f>基礎データ!I15*(1+前提・出典!$B$2)+前提・出典!$B$3*(1+前提・出典!$B$4)</f>
        <v/>
      </c>
      <c r="G15" s="6">
        <f>基礎データ!J15*(1+前提・出典!$B$2)+前提・出典!$B$3*(1+前提・出典!$B$4)</f>
        <v/>
      </c>
      <c r="H15" s="6">
        <f>基礎データ!K15*(1+前提・出典!$B$2)+前提・出典!$B$3*(1+前提・出典!$B$4)</f>
        <v/>
      </c>
      <c r="I15" s="6">
        <f>基礎データ!L15*(1+前提・出典!$B$2)+前提・出典!$B$3*(1+前提・出典!$B$4)</f>
        <v/>
      </c>
      <c r="J15" s="6">
        <f>基礎データ!M15*(1+前提・出典!$B$2)+前提・出典!$B$3*(1+前提・出典!$B$4)</f>
        <v/>
      </c>
      <c r="K15" s="6">
        <f>基礎データ!N15*(1+前提・出典!$B$2)+前提・出典!$B$3*(1+前提・出典!$B$4)</f>
        <v/>
      </c>
      <c r="L15" s="6">
        <f>基礎データ!O15*(1+前提・出典!$B$2)+前提・出典!$B$3*(1+前提・出典!$B$4)</f>
        <v/>
      </c>
      <c r="M15" s="6">
        <f>基礎データ!P15*(1+前提・出典!$B$2)+前提・出典!$B$3*(1+前提・出典!$B$4)</f>
        <v/>
      </c>
      <c r="N15" s="6">
        <f>基礎データ!Q15*(1+前提・出典!$B$2)+前提・出典!$B$3*(1+前提・出典!$B$4)</f>
        <v/>
      </c>
      <c r="O15" s="6">
        <f>基礎データ!R15*(1+前提・出典!$B$2)+前提・出典!$B$3*(1+前提・出典!$B$4)</f>
        <v/>
      </c>
      <c r="P15" s="6">
        <f>基礎データ!S15*(1+前提・出典!$B$2)+前提・出典!$B$3*(1+前提・出典!$B$4)</f>
        <v/>
      </c>
      <c r="Q15" s="6">
        <f>基礎データ!T15*(1+前提・出典!$B$2)+前提・出典!$B$3*(1+前提・出典!$B$4)</f>
        <v/>
      </c>
      <c r="R15" s="6">
        <f>基礎データ!U15*(1+前提・出典!$B$2)+前提・出典!$B$3*(1+前提・出典!$B$4)</f>
        <v/>
      </c>
      <c r="S15" s="6">
        <f>基礎データ!V15*(1+前提・出典!$B$2)+前提・出典!$B$3*(1+前提・出典!$B$4)</f>
        <v/>
      </c>
      <c r="T15" s="6">
        <f>基礎データ!W15*(1+前提・出典!$B$2)+前提・出典!$B$3*(1+前提・出典!$B$4)</f>
        <v/>
      </c>
      <c r="U15" s="6">
        <f>基礎データ!X15*(1+前提・出典!$B$2)+前提・出典!$B$3*(1+前提・出典!$B$4)</f>
        <v/>
      </c>
      <c r="V15" s="6">
        <f>基礎データ!Y15*(1+前提・出典!$B$2)+前提・出典!$B$3*(1+前提・出典!$B$4)</f>
        <v/>
      </c>
      <c r="W15" s="6">
        <f>基礎データ!Z15*(1+前提・出典!$B$2)+前提・出典!$B$3*(1+前提・出典!$B$4)</f>
        <v/>
      </c>
      <c r="X15" s="6">
        <f>基礎データ!AA15*(1+前提・出典!$B$2)+前提・出典!$B$3*(1+前提・出典!$B$4)</f>
        <v/>
      </c>
      <c r="Y15" s="6">
        <f>基礎データ!AB15*(1+前提・出典!$B$2)+前提・出典!$B$3*(1+前提・出典!$B$4)</f>
        <v/>
      </c>
      <c r="Z15" s="6">
        <f>基礎データ!AC15*(1+前提・出典!$B$2)+前提・出典!$B$3*(1+前提・出典!$B$4)</f>
        <v/>
      </c>
      <c r="AA15" s="6">
        <f>基礎データ!AD15*(1+前提・出典!$B$2)+前提・出典!$B$3*(1+前提・出典!$B$4)</f>
        <v/>
      </c>
      <c r="AB15" s="6">
        <f>基礎データ!AE15*(1+前提・出典!$B$2)+前提・出典!$B$3*(1+前提・出典!$B$4)</f>
        <v/>
      </c>
    </row>
    <row r="16">
      <c r="A16">
        <f>基礎データ!A16</f>
        <v/>
      </c>
      <c r="B16" s="6">
        <f>基礎データ!E16*(1+前提・出典!$B$2)+前提・出典!$B$3*(1+前提・出典!$B$4)</f>
        <v/>
      </c>
      <c r="C16" s="6">
        <f>基礎データ!F16*(1+前提・出典!$B$2)+前提・出典!$B$3*(1+前提・出典!$B$4)</f>
        <v/>
      </c>
      <c r="D16" s="6">
        <f>基礎データ!G16*(1+前提・出典!$B$2)+前提・出典!$B$3*(1+前提・出典!$B$4)</f>
        <v/>
      </c>
      <c r="E16" s="6">
        <f>基礎データ!H16*(1+前提・出典!$B$2)+前提・出典!$B$3*(1+前提・出典!$B$4)</f>
        <v/>
      </c>
      <c r="F16" s="6">
        <f>基礎データ!I16*(1+前提・出典!$B$2)+前提・出典!$B$3*(1+前提・出典!$B$4)</f>
        <v/>
      </c>
      <c r="G16" s="6">
        <f>基礎データ!J16*(1+前提・出典!$B$2)+前提・出典!$B$3*(1+前提・出典!$B$4)</f>
        <v/>
      </c>
      <c r="H16" s="6">
        <f>基礎データ!K16*(1+前提・出典!$B$2)+前提・出典!$B$3*(1+前提・出典!$B$4)</f>
        <v/>
      </c>
      <c r="I16" s="6">
        <f>基礎データ!L16*(1+前提・出典!$B$2)+前提・出典!$B$3*(1+前提・出典!$B$4)</f>
        <v/>
      </c>
      <c r="J16" s="6">
        <f>基礎データ!M16*(1+前提・出典!$B$2)+前提・出典!$B$3*(1+前提・出典!$B$4)</f>
        <v/>
      </c>
      <c r="K16" s="6">
        <f>基礎データ!N16*(1+前提・出典!$B$2)+前提・出典!$B$3*(1+前提・出典!$B$4)</f>
        <v/>
      </c>
      <c r="L16" s="6">
        <f>基礎データ!O16*(1+前提・出典!$B$2)+前提・出典!$B$3*(1+前提・出典!$B$4)</f>
        <v/>
      </c>
      <c r="M16" s="6">
        <f>基礎データ!P16*(1+前提・出典!$B$2)+前提・出典!$B$3*(1+前提・出典!$B$4)</f>
        <v/>
      </c>
      <c r="N16" s="6">
        <f>基礎データ!Q16*(1+前提・出典!$B$2)+前提・出典!$B$3*(1+前提・出典!$B$4)</f>
        <v/>
      </c>
      <c r="O16" s="6">
        <f>基礎データ!R16*(1+前提・出典!$B$2)+前提・出典!$B$3*(1+前提・出典!$B$4)</f>
        <v/>
      </c>
      <c r="P16" s="6">
        <f>基礎データ!S16*(1+前提・出典!$B$2)+前提・出典!$B$3*(1+前提・出典!$B$4)</f>
        <v/>
      </c>
      <c r="Q16" s="6">
        <f>基礎データ!T16*(1+前提・出典!$B$2)+前提・出典!$B$3*(1+前提・出典!$B$4)</f>
        <v/>
      </c>
      <c r="R16" s="6">
        <f>基礎データ!U16*(1+前提・出典!$B$2)+前提・出典!$B$3*(1+前提・出典!$B$4)</f>
        <v/>
      </c>
      <c r="S16" s="6">
        <f>基礎データ!V16*(1+前提・出典!$B$2)+前提・出典!$B$3*(1+前提・出典!$B$4)</f>
        <v/>
      </c>
      <c r="T16" s="6">
        <f>基礎データ!W16*(1+前提・出典!$B$2)+前提・出典!$B$3*(1+前提・出典!$B$4)</f>
        <v/>
      </c>
      <c r="U16" s="6">
        <f>基礎データ!X16*(1+前提・出典!$B$2)+前提・出典!$B$3*(1+前提・出典!$B$4)</f>
        <v/>
      </c>
      <c r="V16" s="6">
        <f>基礎データ!Y16*(1+前提・出典!$B$2)+前提・出典!$B$3*(1+前提・出典!$B$4)</f>
        <v/>
      </c>
      <c r="W16" s="6">
        <f>基礎データ!Z16*(1+前提・出典!$B$2)+前提・出典!$B$3*(1+前提・出典!$B$4)</f>
        <v/>
      </c>
      <c r="X16" s="6">
        <f>基礎データ!AA16*(1+前提・出典!$B$2)+前提・出典!$B$3*(1+前提・出典!$B$4)</f>
        <v/>
      </c>
      <c r="Y16" s="6">
        <f>基礎データ!AB16*(1+前提・出典!$B$2)+前提・出典!$B$3*(1+前提・出典!$B$4)</f>
        <v/>
      </c>
      <c r="Z16" s="6">
        <f>基礎データ!AC16*(1+前提・出典!$B$2)+前提・出典!$B$3*(1+前提・出典!$B$4)</f>
        <v/>
      </c>
      <c r="AA16" s="6">
        <f>基礎データ!AD16*(1+前提・出典!$B$2)+前提・出典!$B$3*(1+前提・出典!$B$4)</f>
        <v/>
      </c>
      <c r="AB16" s="6">
        <f>基礎データ!AE16*(1+前提・出典!$B$2)+前提・出典!$B$3*(1+前提・出典!$B$4)</f>
        <v/>
      </c>
    </row>
    <row r="17">
      <c r="A17">
        <f>基礎データ!A17</f>
        <v/>
      </c>
      <c r="B17" s="6">
        <f>基礎データ!E17*(1+前提・出典!$B$2)+前提・出典!$B$3*(1+前提・出典!$B$4)</f>
        <v/>
      </c>
      <c r="C17" s="6">
        <f>基礎データ!F17*(1+前提・出典!$B$2)+前提・出典!$B$3*(1+前提・出典!$B$4)</f>
        <v/>
      </c>
      <c r="D17" s="6">
        <f>基礎データ!G17*(1+前提・出典!$B$2)+前提・出典!$B$3*(1+前提・出典!$B$4)</f>
        <v/>
      </c>
      <c r="E17" s="6">
        <f>基礎データ!H17*(1+前提・出典!$B$2)+前提・出典!$B$3*(1+前提・出典!$B$4)</f>
        <v/>
      </c>
      <c r="F17" s="6">
        <f>基礎データ!I17*(1+前提・出典!$B$2)+前提・出典!$B$3*(1+前提・出典!$B$4)</f>
        <v/>
      </c>
      <c r="G17" s="6">
        <f>基礎データ!J17*(1+前提・出典!$B$2)+前提・出典!$B$3*(1+前提・出典!$B$4)</f>
        <v/>
      </c>
      <c r="H17" s="6">
        <f>基礎データ!K17*(1+前提・出典!$B$2)+前提・出典!$B$3*(1+前提・出典!$B$4)</f>
        <v/>
      </c>
      <c r="I17" s="6">
        <f>基礎データ!L17*(1+前提・出典!$B$2)+前提・出典!$B$3*(1+前提・出典!$B$4)</f>
        <v/>
      </c>
      <c r="J17" s="6">
        <f>基礎データ!M17*(1+前提・出典!$B$2)+前提・出典!$B$3*(1+前提・出典!$B$4)</f>
        <v/>
      </c>
      <c r="K17" s="6">
        <f>基礎データ!N17*(1+前提・出典!$B$2)+前提・出典!$B$3*(1+前提・出典!$B$4)</f>
        <v/>
      </c>
      <c r="L17" s="6">
        <f>基礎データ!O17*(1+前提・出典!$B$2)+前提・出典!$B$3*(1+前提・出典!$B$4)</f>
        <v/>
      </c>
      <c r="M17" s="6">
        <f>基礎データ!P17*(1+前提・出典!$B$2)+前提・出典!$B$3*(1+前提・出典!$B$4)</f>
        <v/>
      </c>
      <c r="N17" s="6">
        <f>基礎データ!Q17*(1+前提・出典!$B$2)+前提・出典!$B$3*(1+前提・出典!$B$4)</f>
        <v/>
      </c>
      <c r="O17" s="6">
        <f>基礎データ!R17*(1+前提・出典!$B$2)+前提・出典!$B$3*(1+前提・出典!$B$4)</f>
        <v/>
      </c>
      <c r="P17" s="6">
        <f>基礎データ!S17*(1+前提・出典!$B$2)+前提・出典!$B$3*(1+前提・出典!$B$4)</f>
        <v/>
      </c>
      <c r="Q17" s="6">
        <f>基礎データ!T17*(1+前提・出典!$B$2)+前提・出典!$B$3*(1+前提・出典!$B$4)</f>
        <v/>
      </c>
      <c r="R17" s="6">
        <f>基礎データ!U17*(1+前提・出典!$B$2)+前提・出典!$B$3*(1+前提・出典!$B$4)</f>
        <v/>
      </c>
      <c r="S17" s="6">
        <f>基礎データ!V17*(1+前提・出典!$B$2)+前提・出典!$B$3*(1+前提・出典!$B$4)</f>
        <v/>
      </c>
      <c r="T17" s="6">
        <f>基礎データ!W17*(1+前提・出典!$B$2)+前提・出典!$B$3*(1+前提・出典!$B$4)</f>
        <v/>
      </c>
      <c r="U17" s="6">
        <f>基礎データ!X17*(1+前提・出典!$B$2)+前提・出典!$B$3*(1+前提・出典!$B$4)</f>
        <v/>
      </c>
      <c r="V17" s="6">
        <f>基礎データ!Y17*(1+前提・出典!$B$2)+前提・出典!$B$3*(1+前提・出典!$B$4)</f>
        <v/>
      </c>
      <c r="W17" s="6">
        <f>基礎データ!Z17*(1+前提・出典!$B$2)+前提・出典!$B$3*(1+前提・出典!$B$4)</f>
        <v/>
      </c>
      <c r="X17" s="6">
        <f>基礎データ!AA17*(1+前提・出典!$B$2)+前提・出典!$B$3*(1+前提・出典!$B$4)</f>
        <v/>
      </c>
      <c r="Y17" s="6">
        <f>基礎データ!AB17*(1+前提・出典!$B$2)+前提・出典!$B$3*(1+前提・出典!$B$4)</f>
        <v/>
      </c>
      <c r="Z17" s="6">
        <f>基礎データ!AC17*(1+前提・出典!$B$2)+前提・出典!$B$3*(1+前提・出典!$B$4)</f>
        <v/>
      </c>
      <c r="AA17" s="6">
        <f>基礎データ!AD17*(1+前提・出典!$B$2)+前提・出典!$B$3*(1+前提・出典!$B$4)</f>
        <v/>
      </c>
      <c r="AB17" s="6">
        <f>基礎データ!AE17*(1+前提・出典!$B$2)+前提・出典!$B$3*(1+前提・出典!$B$4)</f>
        <v/>
      </c>
    </row>
    <row r="18">
      <c r="A18">
        <f>基礎データ!A18</f>
        <v/>
      </c>
      <c r="B18" s="6">
        <f>基礎データ!E18*(1+前提・出典!$B$2)+前提・出典!$B$3*(1+前提・出典!$B$4)</f>
        <v/>
      </c>
      <c r="C18" s="6">
        <f>基礎データ!F18*(1+前提・出典!$B$2)+前提・出典!$B$3*(1+前提・出典!$B$4)</f>
        <v/>
      </c>
      <c r="D18" s="6">
        <f>基礎データ!G18*(1+前提・出典!$B$2)+前提・出典!$B$3*(1+前提・出典!$B$4)</f>
        <v/>
      </c>
      <c r="E18" s="6">
        <f>基礎データ!H18*(1+前提・出典!$B$2)+前提・出典!$B$3*(1+前提・出典!$B$4)</f>
        <v/>
      </c>
      <c r="F18" s="6">
        <f>基礎データ!I18*(1+前提・出典!$B$2)+前提・出典!$B$3*(1+前提・出典!$B$4)</f>
        <v/>
      </c>
      <c r="G18" s="6">
        <f>基礎データ!J18*(1+前提・出典!$B$2)+前提・出典!$B$3*(1+前提・出典!$B$4)</f>
        <v/>
      </c>
      <c r="H18" s="6">
        <f>基礎データ!K18*(1+前提・出典!$B$2)+前提・出典!$B$3*(1+前提・出典!$B$4)</f>
        <v/>
      </c>
      <c r="I18" s="6">
        <f>基礎データ!L18*(1+前提・出典!$B$2)+前提・出典!$B$3*(1+前提・出典!$B$4)</f>
        <v/>
      </c>
      <c r="J18" s="6">
        <f>基礎データ!M18*(1+前提・出典!$B$2)+前提・出典!$B$3*(1+前提・出典!$B$4)</f>
        <v/>
      </c>
      <c r="K18" s="6">
        <f>基礎データ!N18*(1+前提・出典!$B$2)+前提・出典!$B$3*(1+前提・出典!$B$4)</f>
        <v/>
      </c>
      <c r="L18" s="6">
        <f>基礎データ!O18*(1+前提・出典!$B$2)+前提・出典!$B$3*(1+前提・出典!$B$4)</f>
        <v/>
      </c>
      <c r="M18" s="6">
        <f>基礎データ!P18*(1+前提・出典!$B$2)+前提・出典!$B$3*(1+前提・出典!$B$4)</f>
        <v/>
      </c>
      <c r="N18" s="6">
        <f>基礎データ!Q18*(1+前提・出典!$B$2)+前提・出典!$B$3*(1+前提・出典!$B$4)</f>
        <v/>
      </c>
      <c r="O18" s="6">
        <f>基礎データ!R18*(1+前提・出典!$B$2)+前提・出典!$B$3*(1+前提・出典!$B$4)</f>
        <v/>
      </c>
      <c r="P18" s="6">
        <f>基礎データ!S18*(1+前提・出典!$B$2)+前提・出典!$B$3*(1+前提・出典!$B$4)</f>
        <v/>
      </c>
      <c r="Q18" s="6">
        <f>基礎データ!T18*(1+前提・出典!$B$2)+前提・出典!$B$3*(1+前提・出典!$B$4)</f>
        <v/>
      </c>
      <c r="R18" s="6">
        <f>基礎データ!U18*(1+前提・出典!$B$2)+前提・出典!$B$3*(1+前提・出典!$B$4)</f>
        <v/>
      </c>
      <c r="S18" s="6">
        <f>基礎データ!V18*(1+前提・出典!$B$2)+前提・出典!$B$3*(1+前提・出典!$B$4)</f>
        <v/>
      </c>
      <c r="T18" s="6">
        <f>基礎データ!W18*(1+前提・出典!$B$2)+前提・出典!$B$3*(1+前提・出典!$B$4)</f>
        <v/>
      </c>
      <c r="U18" s="6">
        <f>基礎データ!X18*(1+前提・出典!$B$2)+前提・出典!$B$3*(1+前提・出典!$B$4)</f>
        <v/>
      </c>
      <c r="V18" s="6">
        <f>基礎データ!Y18*(1+前提・出典!$B$2)+前提・出典!$B$3*(1+前提・出典!$B$4)</f>
        <v/>
      </c>
      <c r="W18" s="6">
        <f>基礎データ!Z18*(1+前提・出典!$B$2)+前提・出典!$B$3*(1+前提・出典!$B$4)</f>
        <v/>
      </c>
      <c r="X18" s="6">
        <f>基礎データ!AA18*(1+前提・出典!$B$2)+前提・出典!$B$3*(1+前提・出典!$B$4)</f>
        <v/>
      </c>
      <c r="Y18" s="6">
        <f>基礎データ!AB18*(1+前提・出典!$B$2)+前提・出典!$B$3*(1+前提・出典!$B$4)</f>
        <v/>
      </c>
      <c r="Z18" s="6">
        <f>基礎データ!AC18*(1+前提・出典!$B$2)+前提・出典!$B$3*(1+前提・出典!$B$4)</f>
        <v/>
      </c>
      <c r="AA18" s="6">
        <f>基礎データ!AD18*(1+前提・出典!$B$2)+前提・出典!$B$3*(1+前提・出典!$B$4)</f>
        <v/>
      </c>
      <c r="AB18" s="6">
        <f>基礎データ!AE18*(1+前提・出典!$B$2)+前提・出典!$B$3*(1+前提・出典!$B$4)</f>
        <v/>
      </c>
    </row>
    <row r="19">
      <c r="A19">
        <f>基礎データ!A19</f>
        <v/>
      </c>
      <c r="B19" s="6">
        <f>基礎データ!E19*(1+前提・出典!$B$2)+前提・出典!$B$3*(1+前提・出典!$B$4)</f>
        <v/>
      </c>
      <c r="C19" s="6">
        <f>基礎データ!F19*(1+前提・出典!$B$2)+前提・出典!$B$3*(1+前提・出典!$B$4)</f>
        <v/>
      </c>
      <c r="D19" s="6">
        <f>基礎データ!G19*(1+前提・出典!$B$2)+前提・出典!$B$3*(1+前提・出典!$B$4)</f>
        <v/>
      </c>
      <c r="E19" s="6">
        <f>基礎データ!H19*(1+前提・出典!$B$2)+前提・出典!$B$3*(1+前提・出典!$B$4)</f>
        <v/>
      </c>
      <c r="F19" s="6">
        <f>基礎データ!I19*(1+前提・出典!$B$2)+前提・出典!$B$3*(1+前提・出典!$B$4)</f>
        <v/>
      </c>
      <c r="G19" s="6">
        <f>基礎データ!J19*(1+前提・出典!$B$2)+前提・出典!$B$3*(1+前提・出典!$B$4)</f>
        <v/>
      </c>
      <c r="H19" s="6">
        <f>基礎データ!K19*(1+前提・出典!$B$2)+前提・出典!$B$3*(1+前提・出典!$B$4)</f>
        <v/>
      </c>
      <c r="I19" s="6">
        <f>基礎データ!L19*(1+前提・出典!$B$2)+前提・出典!$B$3*(1+前提・出典!$B$4)</f>
        <v/>
      </c>
      <c r="J19" s="6">
        <f>基礎データ!M19*(1+前提・出典!$B$2)+前提・出典!$B$3*(1+前提・出典!$B$4)</f>
        <v/>
      </c>
      <c r="K19" s="6">
        <f>基礎データ!N19*(1+前提・出典!$B$2)+前提・出典!$B$3*(1+前提・出典!$B$4)</f>
        <v/>
      </c>
      <c r="L19" s="6">
        <f>基礎データ!O19*(1+前提・出典!$B$2)+前提・出典!$B$3*(1+前提・出典!$B$4)</f>
        <v/>
      </c>
      <c r="M19" s="6">
        <f>基礎データ!P19*(1+前提・出典!$B$2)+前提・出典!$B$3*(1+前提・出典!$B$4)</f>
        <v/>
      </c>
      <c r="N19" s="6">
        <f>基礎データ!Q19*(1+前提・出典!$B$2)+前提・出典!$B$3*(1+前提・出典!$B$4)</f>
        <v/>
      </c>
      <c r="O19" s="6">
        <f>基礎データ!R19*(1+前提・出典!$B$2)+前提・出典!$B$3*(1+前提・出典!$B$4)</f>
        <v/>
      </c>
      <c r="P19" s="6">
        <f>基礎データ!S19*(1+前提・出典!$B$2)+前提・出典!$B$3*(1+前提・出典!$B$4)</f>
        <v/>
      </c>
      <c r="Q19" s="6">
        <f>基礎データ!T19*(1+前提・出典!$B$2)+前提・出典!$B$3*(1+前提・出典!$B$4)</f>
        <v/>
      </c>
      <c r="R19" s="6">
        <f>基礎データ!U19*(1+前提・出典!$B$2)+前提・出典!$B$3*(1+前提・出典!$B$4)</f>
        <v/>
      </c>
      <c r="S19" s="6">
        <f>基礎データ!V19*(1+前提・出典!$B$2)+前提・出典!$B$3*(1+前提・出典!$B$4)</f>
        <v/>
      </c>
      <c r="T19" s="6">
        <f>基礎データ!W19*(1+前提・出典!$B$2)+前提・出典!$B$3*(1+前提・出典!$B$4)</f>
        <v/>
      </c>
      <c r="U19" s="6">
        <f>基礎データ!X19*(1+前提・出典!$B$2)+前提・出典!$B$3*(1+前提・出典!$B$4)</f>
        <v/>
      </c>
      <c r="V19" s="6">
        <f>基礎データ!Y19*(1+前提・出典!$B$2)+前提・出典!$B$3*(1+前提・出典!$B$4)</f>
        <v/>
      </c>
      <c r="W19" s="6">
        <f>基礎データ!Z19*(1+前提・出典!$B$2)+前提・出典!$B$3*(1+前提・出典!$B$4)</f>
        <v/>
      </c>
      <c r="X19" s="6">
        <f>基礎データ!AA19*(1+前提・出典!$B$2)+前提・出典!$B$3*(1+前提・出典!$B$4)</f>
        <v/>
      </c>
      <c r="Y19" s="6">
        <f>基礎データ!AB19*(1+前提・出典!$B$2)+前提・出典!$B$3*(1+前提・出典!$B$4)</f>
        <v/>
      </c>
      <c r="Z19" s="6">
        <f>基礎データ!AC19*(1+前提・出典!$B$2)+前提・出典!$B$3*(1+前提・出典!$B$4)</f>
        <v/>
      </c>
      <c r="AA19" s="6">
        <f>基礎データ!AD19*(1+前提・出典!$B$2)+前提・出典!$B$3*(1+前提・出典!$B$4)</f>
        <v/>
      </c>
      <c r="AB19" s="6">
        <f>基礎データ!AE19*(1+前提・出典!$B$2)+前提・出典!$B$3*(1+前提・出典!$B$4)</f>
        <v/>
      </c>
    </row>
    <row r="20">
      <c r="A20">
        <f>基礎データ!A20</f>
        <v/>
      </c>
      <c r="B20" s="6">
        <f>基礎データ!E20*(1+前提・出典!$B$2)+前提・出典!$B$3*(1+前提・出典!$B$4)</f>
        <v/>
      </c>
      <c r="C20" s="6">
        <f>基礎データ!F20*(1+前提・出典!$B$2)+前提・出典!$B$3*(1+前提・出典!$B$4)</f>
        <v/>
      </c>
      <c r="D20" s="6">
        <f>基礎データ!G20*(1+前提・出典!$B$2)+前提・出典!$B$3*(1+前提・出典!$B$4)</f>
        <v/>
      </c>
      <c r="E20" s="6">
        <f>基礎データ!H20*(1+前提・出典!$B$2)+前提・出典!$B$3*(1+前提・出典!$B$4)</f>
        <v/>
      </c>
      <c r="F20" s="6">
        <f>基礎データ!I20*(1+前提・出典!$B$2)+前提・出典!$B$3*(1+前提・出典!$B$4)</f>
        <v/>
      </c>
      <c r="G20" s="6">
        <f>基礎データ!J20*(1+前提・出典!$B$2)+前提・出典!$B$3*(1+前提・出典!$B$4)</f>
        <v/>
      </c>
      <c r="H20" s="6">
        <f>基礎データ!K20*(1+前提・出典!$B$2)+前提・出典!$B$3*(1+前提・出典!$B$4)</f>
        <v/>
      </c>
      <c r="I20" s="6">
        <f>基礎データ!L20*(1+前提・出典!$B$2)+前提・出典!$B$3*(1+前提・出典!$B$4)</f>
        <v/>
      </c>
      <c r="J20" s="6">
        <f>基礎データ!M20*(1+前提・出典!$B$2)+前提・出典!$B$3*(1+前提・出典!$B$4)</f>
        <v/>
      </c>
      <c r="K20" s="6">
        <f>基礎データ!N20*(1+前提・出典!$B$2)+前提・出典!$B$3*(1+前提・出典!$B$4)</f>
        <v/>
      </c>
      <c r="L20" s="6">
        <f>基礎データ!O20*(1+前提・出典!$B$2)+前提・出典!$B$3*(1+前提・出典!$B$4)</f>
        <v/>
      </c>
      <c r="M20" s="6">
        <f>基礎データ!P20*(1+前提・出典!$B$2)+前提・出典!$B$3*(1+前提・出典!$B$4)</f>
        <v/>
      </c>
      <c r="N20" s="6">
        <f>基礎データ!Q20*(1+前提・出典!$B$2)+前提・出典!$B$3*(1+前提・出典!$B$4)</f>
        <v/>
      </c>
      <c r="O20" s="6">
        <f>基礎データ!R20*(1+前提・出典!$B$2)+前提・出典!$B$3*(1+前提・出典!$B$4)</f>
        <v/>
      </c>
      <c r="P20" s="6">
        <f>基礎データ!S20*(1+前提・出典!$B$2)+前提・出典!$B$3*(1+前提・出典!$B$4)</f>
        <v/>
      </c>
      <c r="Q20" s="6">
        <f>基礎データ!T20*(1+前提・出典!$B$2)+前提・出典!$B$3*(1+前提・出典!$B$4)</f>
        <v/>
      </c>
      <c r="R20" s="6">
        <f>基礎データ!U20*(1+前提・出典!$B$2)+前提・出典!$B$3*(1+前提・出典!$B$4)</f>
        <v/>
      </c>
      <c r="S20" s="6">
        <f>基礎データ!V20*(1+前提・出典!$B$2)+前提・出典!$B$3*(1+前提・出典!$B$4)</f>
        <v/>
      </c>
      <c r="T20" s="6">
        <f>基礎データ!W20*(1+前提・出典!$B$2)+前提・出典!$B$3*(1+前提・出典!$B$4)</f>
        <v/>
      </c>
      <c r="U20" s="6">
        <f>基礎データ!X20*(1+前提・出典!$B$2)+前提・出典!$B$3*(1+前提・出典!$B$4)</f>
        <v/>
      </c>
      <c r="V20" s="6">
        <f>基礎データ!Y20*(1+前提・出典!$B$2)+前提・出典!$B$3*(1+前提・出典!$B$4)</f>
        <v/>
      </c>
      <c r="W20" s="6">
        <f>基礎データ!Z20*(1+前提・出典!$B$2)+前提・出典!$B$3*(1+前提・出典!$B$4)</f>
        <v/>
      </c>
      <c r="X20" s="6">
        <f>基礎データ!AA20*(1+前提・出典!$B$2)+前提・出典!$B$3*(1+前提・出典!$B$4)</f>
        <v/>
      </c>
      <c r="Y20" s="6">
        <f>基礎データ!AB20*(1+前提・出典!$B$2)+前提・出典!$B$3*(1+前提・出典!$B$4)</f>
        <v/>
      </c>
      <c r="Z20" s="6">
        <f>基礎データ!AC20*(1+前提・出典!$B$2)+前提・出典!$B$3*(1+前提・出典!$B$4)</f>
        <v/>
      </c>
      <c r="AA20" s="6">
        <f>基礎データ!AD20*(1+前提・出典!$B$2)+前提・出典!$B$3*(1+前提・出典!$B$4)</f>
        <v/>
      </c>
      <c r="AB20" s="6">
        <f>基礎データ!AE20*(1+前提・出典!$B$2)+前提・出典!$B$3*(1+前提・出典!$B$4)</f>
        <v/>
      </c>
    </row>
    <row r="21">
      <c r="A21">
        <f>基礎データ!A21</f>
        <v/>
      </c>
      <c r="B21" s="6">
        <f>基礎データ!E21*(1+前提・出典!$B$2)+前提・出典!$B$3*(1+前提・出典!$B$4)</f>
        <v/>
      </c>
      <c r="C21" s="6">
        <f>基礎データ!F21*(1+前提・出典!$B$2)+前提・出典!$B$3*(1+前提・出典!$B$4)</f>
        <v/>
      </c>
      <c r="D21" s="6">
        <f>基礎データ!G21*(1+前提・出典!$B$2)+前提・出典!$B$3*(1+前提・出典!$B$4)</f>
        <v/>
      </c>
      <c r="E21" s="6">
        <f>基礎データ!H21*(1+前提・出典!$B$2)+前提・出典!$B$3*(1+前提・出典!$B$4)</f>
        <v/>
      </c>
      <c r="F21" s="6">
        <f>基礎データ!I21*(1+前提・出典!$B$2)+前提・出典!$B$3*(1+前提・出典!$B$4)</f>
        <v/>
      </c>
      <c r="G21" s="6">
        <f>基礎データ!J21*(1+前提・出典!$B$2)+前提・出典!$B$3*(1+前提・出典!$B$4)</f>
        <v/>
      </c>
      <c r="H21" s="6">
        <f>基礎データ!K21*(1+前提・出典!$B$2)+前提・出典!$B$3*(1+前提・出典!$B$4)</f>
        <v/>
      </c>
      <c r="I21" s="6">
        <f>基礎データ!L21*(1+前提・出典!$B$2)+前提・出典!$B$3*(1+前提・出典!$B$4)</f>
        <v/>
      </c>
      <c r="J21" s="6">
        <f>基礎データ!M21*(1+前提・出典!$B$2)+前提・出典!$B$3*(1+前提・出典!$B$4)</f>
        <v/>
      </c>
      <c r="K21" s="6">
        <f>基礎データ!N21*(1+前提・出典!$B$2)+前提・出典!$B$3*(1+前提・出典!$B$4)</f>
        <v/>
      </c>
      <c r="L21" s="6">
        <f>基礎データ!O21*(1+前提・出典!$B$2)+前提・出典!$B$3*(1+前提・出典!$B$4)</f>
        <v/>
      </c>
      <c r="M21" s="6">
        <f>基礎データ!P21*(1+前提・出典!$B$2)+前提・出典!$B$3*(1+前提・出典!$B$4)</f>
        <v/>
      </c>
      <c r="N21" s="6">
        <f>基礎データ!Q21*(1+前提・出典!$B$2)+前提・出典!$B$3*(1+前提・出典!$B$4)</f>
        <v/>
      </c>
      <c r="O21" s="6">
        <f>基礎データ!R21*(1+前提・出典!$B$2)+前提・出典!$B$3*(1+前提・出典!$B$4)</f>
        <v/>
      </c>
      <c r="P21" s="6">
        <f>基礎データ!S21*(1+前提・出典!$B$2)+前提・出典!$B$3*(1+前提・出典!$B$4)</f>
        <v/>
      </c>
      <c r="Q21" s="6">
        <f>基礎データ!T21*(1+前提・出典!$B$2)+前提・出典!$B$3*(1+前提・出典!$B$4)</f>
        <v/>
      </c>
      <c r="R21" s="6">
        <f>基礎データ!U21*(1+前提・出典!$B$2)+前提・出典!$B$3*(1+前提・出典!$B$4)</f>
        <v/>
      </c>
      <c r="S21" s="6">
        <f>基礎データ!V21*(1+前提・出典!$B$2)+前提・出典!$B$3*(1+前提・出典!$B$4)</f>
        <v/>
      </c>
      <c r="T21" s="6">
        <f>基礎データ!W21*(1+前提・出典!$B$2)+前提・出典!$B$3*(1+前提・出典!$B$4)</f>
        <v/>
      </c>
      <c r="U21" s="6">
        <f>基礎データ!X21*(1+前提・出典!$B$2)+前提・出典!$B$3*(1+前提・出典!$B$4)</f>
        <v/>
      </c>
      <c r="V21" s="6">
        <f>基礎データ!Y21*(1+前提・出典!$B$2)+前提・出典!$B$3*(1+前提・出典!$B$4)</f>
        <v/>
      </c>
      <c r="W21" s="6">
        <f>基礎データ!Z21*(1+前提・出典!$B$2)+前提・出典!$B$3*(1+前提・出典!$B$4)</f>
        <v/>
      </c>
      <c r="X21" s="6">
        <f>基礎データ!AA21*(1+前提・出典!$B$2)+前提・出典!$B$3*(1+前提・出典!$B$4)</f>
        <v/>
      </c>
      <c r="Y21" s="6">
        <f>基礎データ!AB21*(1+前提・出典!$B$2)+前提・出典!$B$3*(1+前提・出典!$B$4)</f>
        <v/>
      </c>
      <c r="Z21" s="6">
        <f>基礎データ!AC21*(1+前提・出典!$B$2)+前提・出典!$B$3*(1+前提・出典!$B$4)</f>
        <v/>
      </c>
      <c r="AA21" s="6">
        <f>基礎データ!AD21*(1+前提・出典!$B$2)+前提・出典!$B$3*(1+前提・出典!$B$4)</f>
        <v/>
      </c>
      <c r="AB21" s="6">
        <f>基礎データ!AE21*(1+前提・出典!$B$2)+前提・出典!$B$3*(1+前提・出典!$B$4)</f>
        <v/>
      </c>
    </row>
    <row r="22">
      <c r="A22">
        <f>基礎データ!A22</f>
        <v/>
      </c>
      <c r="B22" s="6">
        <f>基礎データ!E22*(1+前提・出典!$B$2)+前提・出典!$B$3*(1+前提・出典!$B$4)</f>
        <v/>
      </c>
      <c r="C22" s="6">
        <f>基礎データ!F22*(1+前提・出典!$B$2)+前提・出典!$B$3*(1+前提・出典!$B$4)</f>
        <v/>
      </c>
      <c r="D22" s="6">
        <f>基礎データ!G22*(1+前提・出典!$B$2)+前提・出典!$B$3*(1+前提・出典!$B$4)</f>
        <v/>
      </c>
      <c r="E22" s="6">
        <f>基礎データ!H22*(1+前提・出典!$B$2)+前提・出典!$B$3*(1+前提・出典!$B$4)</f>
        <v/>
      </c>
      <c r="F22" s="6">
        <f>基礎データ!I22*(1+前提・出典!$B$2)+前提・出典!$B$3*(1+前提・出典!$B$4)</f>
        <v/>
      </c>
      <c r="G22" s="6">
        <f>基礎データ!J22*(1+前提・出典!$B$2)+前提・出典!$B$3*(1+前提・出典!$B$4)</f>
        <v/>
      </c>
      <c r="H22" s="6">
        <f>基礎データ!K22*(1+前提・出典!$B$2)+前提・出典!$B$3*(1+前提・出典!$B$4)</f>
        <v/>
      </c>
      <c r="I22" s="6">
        <f>基礎データ!L22*(1+前提・出典!$B$2)+前提・出典!$B$3*(1+前提・出典!$B$4)</f>
        <v/>
      </c>
      <c r="J22" s="6">
        <f>基礎データ!M22*(1+前提・出典!$B$2)+前提・出典!$B$3*(1+前提・出典!$B$4)</f>
        <v/>
      </c>
      <c r="K22" s="6">
        <f>基礎データ!N22*(1+前提・出典!$B$2)+前提・出典!$B$3*(1+前提・出典!$B$4)</f>
        <v/>
      </c>
      <c r="L22" s="6">
        <f>基礎データ!O22*(1+前提・出典!$B$2)+前提・出典!$B$3*(1+前提・出典!$B$4)</f>
        <v/>
      </c>
      <c r="M22" s="6">
        <f>基礎データ!P22*(1+前提・出典!$B$2)+前提・出典!$B$3*(1+前提・出典!$B$4)</f>
        <v/>
      </c>
      <c r="N22" s="6">
        <f>基礎データ!Q22*(1+前提・出典!$B$2)+前提・出典!$B$3*(1+前提・出典!$B$4)</f>
        <v/>
      </c>
      <c r="O22" s="6">
        <f>基礎データ!R22*(1+前提・出典!$B$2)+前提・出典!$B$3*(1+前提・出典!$B$4)</f>
        <v/>
      </c>
      <c r="P22" s="6">
        <f>基礎データ!S22*(1+前提・出典!$B$2)+前提・出典!$B$3*(1+前提・出典!$B$4)</f>
        <v/>
      </c>
      <c r="Q22" s="6">
        <f>基礎データ!T22*(1+前提・出典!$B$2)+前提・出典!$B$3*(1+前提・出典!$B$4)</f>
        <v/>
      </c>
      <c r="R22" s="6">
        <f>基礎データ!U22*(1+前提・出典!$B$2)+前提・出典!$B$3*(1+前提・出典!$B$4)</f>
        <v/>
      </c>
      <c r="S22" s="6">
        <f>基礎データ!V22*(1+前提・出典!$B$2)+前提・出典!$B$3*(1+前提・出典!$B$4)</f>
        <v/>
      </c>
      <c r="T22" s="6">
        <f>基礎データ!W22*(1+前提・出典!$B$2)+前提・出典!$B$3*(1+前提・出典!$B$4)</f>
        <v/>
      </c>
      <c r="U22" s="6">
        <f>基礎データ!X22*(1+前提・出典!$B$2)+前提・出典!$B$3*(1+前提・出典!$B$4)</f>
        <v/>
      </c>
      <c r="V22" s="6">
        <f>基礎データ!Y22*(1+前提・出典!$B$2)+前提・出典!$B$3*(1+前提・出典!$B$4)</f>
        <v/>
      </c>
      <c r="W22" s="6">
        <f>基礎データ!Z22*(1+前提・出典!$B$2)+前提・出典!$B$3*(1+前提・出典!$B$4)</f>
        <v/>
      </c>
      <c r="X22" s="6">
        <f>基礎データ!AA22*(1+前提・出典!$B$2)+前提・出典!$B$3*(1+前提・出典!$B$4)</f>
        <v/>
      </c>
      <c r="Y22" s="6">
        <f>基礎データ!AB22*(1+前提・出典!$B$2)+前提・出典!$B$3*(1+前提・出典!$B$4)</f>
        <v/>
      </c>
      <c r="Z22" s="6">
        <f>基礎データ!AC22*(1+前提・出典!$B$2)+前提・出典!$B$3*(1+前提・出典!$B$4)</f>
        <v/>
      </c>
      <c r="AA22" s="6">
        <f>基礎データ!AD22*(1+前提・出典!$B$2)+前提・出典!$B$3*(1+前提・出典!$B$4)</f>
        <v/>
      </c>
      <c r="AB22" s="6">
        <f>基礎データ!AE22*(1+前提・出典!$B$2)+前提・出典!$B$3*(1+前提・出典!$B$4)</f>
        <v/>
      </c>
    </row>
    <row r="23">
      <c r="A23">
        <f>基礎データ!A23</f>
        <v/>
      </c>
      <c r="B23" s="6">
        <f>基礎データ!E23*(1+前提・出典!$B$2)+前提・出典!$B$3*(1+前提・出典!$B$4)</f>
        <v/>
      </c>
      <c r="C23" s="6">
        <f>基礎データ!F23*(1+前提・出典!$B$2)+前提・出典!$B$3*(1+前提・出典!$B$4)</f>
        <v/>
      </c>
      <c r="D23" s="6">
        <f>基礎データ!G23*(1+前提・出典!$B$2)+前提・出典!$B$3*(1+前提・出典!$B$4)</f>
        <v/>
      </c>
      <c r="E23" s="6">
        <f>基礎データ!H23*(1+前提・出典!$B$2)+前提・出典!$B$3*(1+前提・出典!$B$4)</f>
        <v/>
      </c>
      <c r="F23" s="6">
        <f>基礎データ!I23*(1+前提・出典!$B$2)+前提・出典!$B$3*(1+前提・出典!$B$4)</f>
        <v/>
      </c>
      <c r="G23" s="6">
        <f>基礎データ!J23*(1+前提・出典!$B$2)+前提・出典!$B$3*(1+前提・出典!$B$4)</f>
        <v/>
      </c>
      <c r="H23" s="6">
        <f>基礎データ!K23*(1+前提・出典!$B$2)+前提・出典!$B$3*(1+前提・出典!$B$4)</f>
        <v/>
      </c>
      <c r="I23" s="6">
        <f>基礎データ!L23*(1+前提・出典!$B$2)+前提・出典!$B$3*(1+前提・出典!$B$4)</f>
        <v/>
      </c>
      <c r="J23" s="6">
        <f>基礎データ!M23*(1+前提・出典!$B$2)+前提・出典!$B$3*(1+前提・出典!$B$4)</f>
        <v/>
      </c>
      <c r="K23" s="6">
        <f>基礎データ!N23*(1+前提・出典!$B$2)+前提・出典!$B$3*(1+前提・出典!$B$4)</f>
        <v/>
      </c>
      <c r="L23" s="6">
        <f>基礎データ!O23*(1+前提・出典!$B$2)+前提・出典!$B$3*(1+前提・出典!$B$4)</f>
        <v/>
      </c>
      <c r="M23" s="6">
        <f>基礎データ!P23*(1+前提・出典!$B$2)+前提・出典!$B$3*(1+前提・出典!$B$4)</f>
        <v/>
      </c>
      <c r="N23" s="6">
        <f>基礎データ!Q23*(1+前提・出典!$B$2)+前提・出典!$B$3*(1+前提・出典!$B$4)</f>
        <v/>
      </c>
      <c r="O23" s="6">
        <f>基礎データ!R23*(1+前提・出典!$B$2)+前提・出典!$B$3*(1+前提・出典!$B$4)</f>
        <v/>
      </c>
      <c r="P23" s="6">
        <f>基礎データ!S23*(1+前提・出典!$B$2)+前提・出典!$B$3*(1+前提・出典!$B$4)</f>
        <v/>
      </c>
      <c r="Q23" s="6">
        <f>基礎データ!T23*(1+前提・出典!$B$2)+前提・出典!$B$3*(1+前提・出典!$B$4)</f>
        <v/>
      </c>
      <c r="R23" s="6">
        <f>基礎データ!U23*(1+前提・出典!$B$2)+前提・出典!$B$3*(1+前提・出典!$B$4)</f>
        <v/>
      </c>
      <c r="S23" s="6">
        <f>基礎データ!V23*(1+前提・出典!$B$2)+前提・出典!$B$3*(1+前提・出典!$B$4)</f>
        <v/>
      </c>
      <c r="T23" s="6">
        <f>基礎データ!W23*(1+前提・出典!$B$2)+前提・出典!$B$3*(1+前提・出典!$B$4)</f>
        <v/>
      </c>
      <c r="U23" s="6">
        <f>基礎データ!X23*(1+前提・出典!$B$2)+前提・出典!$B$3*(1+前提・出典!$B$4)</f>
        <v/>
      </c>
      <c r="V23" s="6">
        <f>基礎データ!Y23*(1+前提・出典!$B$2)+前提・出典!$B$3*(1+前提・出典!$B$4)</f>
        <v/>
      </c>
      <c r="W23" s="6">
        <f>基礎データ!Z23*(1+前提・出典!$B$2)+前提・出典!$B$3*(1+前提・出典!$B$4)</f>
        <v/>
      </c>
      <c r="X23" s="6">
        <f>基礎データ!AA23*(1+前提・出典!$B$2)+前提・出典!$B$3*(1+前提・出典!$B$4)</f>
        <v/>
      </c>
      <c r="Y23" s="6">
        <f>基礎データ!AB23*(1+前提・出典!$B$2)+前提・出典!$B$3*(1+前提・出典!$B$4)</f>
        <v/>
      </c>
      <c r="Z23" s="6">
        <f>基礎データ!AC23*(1+前提・出典!$B$2)+前提・出典!$B$3*(1+前提・出典!$B$4)</f>
        <v/>
      </c>
      <c r="AA23" s="6">
        <f>基礎データ!AD23*(1+前提・出典!$B$2)+前提・出典!$B$3*(1+前提・出典!$B$4)</f>
        <v/>
      </c>
      <c r="AB23" s="6">
        <f>基礎データ!AE23*(1+前提・出典!$B$2)+前提・出典!$B$3*(1+前提・出典!$B$4)</f>
        <v/>
      </c>
    </row>
    <row r="24">
      <c r="A24">
        <f>基礎データ!A24</f>
        <v/>
      </c>
      <c r="B24" s="6">
        <f>基礎データ!E24*(1+前提・出典!$B$2)+前提・出典!$B$3*(1+前提・出典!$B$4)</f>
        <v/>
      </c>
      <c r="C24" s="6">
        <f>基礎データ!F24*(1+前提・出典!$B$2)+前提・出典!$B$3*(1+前提・出典!$B$4)</f>
        <v/>
      </c>
      <c r="D24" s="6">
        <f>基礎データ!G24*(1+前提・出典!$B$2)+前提・出典!$B$3*(1+前提・出典!$B$4)</f>
        <v/>
      </c>
      <c r="E24" s="6">
        <f>基礎データ!H24*(1+前提・出典!$B$2)+前提・出典!$B$3*(1+前提・出典!$B$4)</f>
        <v/>
      </c>
      <c r="F24" s="6">
        <f>基礎データ!I24*(1+前提・出典!$B$2)+前提・出典!$B$3*(1+前提・出典!$B$4)</f>
        <v/>
      </c>
      <c r="G24" s="6">
        <f>基礎データ!J24*(1+前提・出典!$B$2)+前提・出典!$B$3*(1+前提・出典!$B$4)</f>
        <v/>
      </c>
      <c r="H24" s="6">
        <f>基礎データ!K24*(1+前提・出典!$B$2)+前提・出典!$B$3*(1+前提・出典!$B$4)</f>
        <v/>
      </c>
      <c r="I24" s="6">
        <f>基礎データ!L24*(1+前提・出典!$B$2)+前提・出典!$B$3*(1+前提・出典!$B$4)</f>
        <v/>
      </c>
      <c r="J24" s="6">
        <f>基礎データ!M24*(1+前提・出典!$B$2)+前提・出典!$B$3*(1+前提・出典!$B$4)</f>
        <v/>
      </c>
      <c r="K24" s="6">
        <f>基礎データ!N24*(1+前提・出典!$B$2)+前提・出典!$B$3*(1+前提・出典!$B$4)</f>
        <v/>
      </c>
      <c r="L24" s="6">
        <f>基礎データ!O24*(1+前提・出典!$B$2)+前提・出典!$B$3*(1+前提・出典!$B$4)</f>
        <v/>
      </c>
      <c r="M24" s="6">
        <f>基礎データ!P24*(1+前提・出典!$B$2)+前提・出典!$B$3*(1+前提・出典!$B$4)</f>
        <v/>
      </c>
      <c r="N24" s="6">
        <f>基礎データ!Q24*(1+前提・出典!$B$2)+前提・出典!$B$3*(1+前提・出典!$B$4)</f>
        <v/>
      </c>
      <c r="O24" s="6">
        <f>基礎データ!R24*(1+前提・出典!$B$2)+前提・出典!$B$3*(1+前提・出典!$B$4)</f>
        <v/>
      </c>
      <c r="P24" s="6">
        <f>基礎データ!S24*(1+前提・出典!$B$2)+前提・出典!$B$3*(1+前提・出典!$B$4)</f>
        <v/>
      </c>
      <c r="Q24" s="6">
        <f>基礎データ!T24*(1+前提・出典!$B$2)+前提・出典!$B$3*(1+前提・出典!$B$4)</f>
        <v/>
      </c>
      <c r="R24" s="6">
        <f>基礎データ!U24*(1+前提・出典!$B$2)+前提・出典!$B$3*(1+前提・出典!$B$4)</f>
        <v/>
      </c>
      <c r="S24" s="6">
        <f>基礎データ!V24*(1+前提・出典!$B$2)+前提・出典!$B$3*(1+前提・出典!$B$4)</f>
        <v/>
      </c>
      <c r="T24" s="6">
        <f>基礎データ!W24*(1+前提・出典!$B$2)+前提・出典!$B$3*(1+前提・出典!$B$4)</f>
        <v/>
      </c>
      <c r="U24" s="6">
        <f>基礎データ!X24*(1+前提・出典!$B$2)+前提・出典!$B$3*(1+前提・出典!$B$4)</f>
        <v/>
      </c>
      <c r="V24" s="6">
        <f>基礎データ!Y24*(1+前提・出典!$B$2)+前提・出典!$B$3*(1+前提・出典!$B$4)</f>
        <v/>
      </c>
      <c r="W24" s="6">
        <f>基礎データ!Z24*(1+前提・出典!$B$2)+前提・出典!$B$3*(1+前提・出典!$B$4)</f>
        <v/>
      </c>
      <c r="X24" s="6">
        <f>基礎データ!AA24*(1+前提・出典!$B$2)+前提・出典!$B$3*(1+前提・出典!$B$4)</f>
        <v/>
      </c>
      <c r="Y24" s="6">
        <f>基礎データ!AB24*(1+前提・出典!$B$2)+前提・出典!$B$3*(1+前提・出典!$B$4)</f>
        <v/>
      </c>
      <c r="Z24" s="6">
        <f>基礎データ!AC24*(1+前提・出典!$B$2)+前提・出典!$B$3*(1+前提・出典!$B$4)</f>
        <v/>
      </c>
      <c r="AA24" s="6">
        <f>基礎データ!AD24*(1+前提・出典!$B$2)+前提・出典!$B$3*(1+前提・出典!$B$4)</f>
        <v/>
      </c>
      <c r="AB24" s="6">
        <f>基礎データ!AE24*(1+前提・出典!$B$2)+前提・出典!$B$3*(1+前提・出典!$B$4)</f>
        <v/>
      </c>
    </row>
    <row r="25">
      <c r="A25">
        <f>基礎データ!A25</f>
        <v/>
      </c>
      <c r="B25" s="6">
        <f>基礎データ!E25*(1+前提・出典!$B$2)+前提・出典!$B$3*(1+前提・出典!$B$4)</f>
        <v/>
      </c>
      <c r="C25" s="6">
        <f>基礎データ!F25*(1+前提・出典!$B$2)+前提・出典!$B$3*(1+前提・出典!$B$4)</f>
        <v/>
      </c>
      <c r="D25" s="6">
        <f>基礎データ!G25*(1+前提・出典!$B$2)+前提・出典!$B$3*(1+前提・出典!$B$4)</f>
        <v/>
      </c>
      <c r="E25" s="6">
        <f>基礎データ!H25*(1+前提・出典!$B$2)+前提・出典!$B$3*(1+前提・出典!$B$4)</f>
        <v/>
      </c>
      <c r="F25" s="6">
        <f>基礎データ!I25*(1+前提・出典!$B$2)+前提・出典!$B$3*(1+前提・出典!$B$4)</f>
        <v/>
      </c>
      <c r="G25" s="6">
        <f>基礎データ!J25*(1+前提・出典!$B$2)+前提・出典!$B$3*(1+前提・出典!$B$4)</f>
        <v/>
      </c>
      <c r="H25" s="6">
        <f>基礎データ!K25*(1+前提・出典!$B$2)+前提・出典!$B$3*(1+前提・出典!$B$4)</f>
        <v/>
      </c>
      <c r="I25" s="6">
        <f>基礎データ!L25*(1+前提・出典!$B$2)+前提・出典!$B$3*(1+前提・出典!$B$4)</f>
        <v/>
      </c>
      <c r="J25" s="6">
        <f>基礎データ!M25*(1+前提・出典!$B$2)+前提・出典!$B$3*(1+前提・出典!$B$4)</f>
        <v/>
      </c>
      <c r="K25" s="6">
        <f>基礎データ!N25*(1+前提・出典!$B$2)+前提・出典!$B$3*(1+前提・出典!$B$4)</f>
        <v/>
      </c>
      <c r="L25" s="6">
        <f>基礎データ!O25*(1+前提・出典!$B$2)+前提・出典!$B$3*(1+前提・出典!$B$4)</f>
        <v/>
      </c>
      <c r="M25" s="6">
        <f>基礎データ!P25*(1+前提・出典!$B$2)+前提・出典!$B$3*(1+前提・出典!$B$4)</f>
        <v/>
      </c>
      <c r="N25" s="6">
        <f>基礎データ!Q25*(1+前提・出典!$B$2)+前提・出典!$B$3*(1+前提・出典!$B$4)</f>
        <v/>
      </c>
      <c r="O25" s="6">
        <f>基礎データ!R25*(1+前提・出典!$B$2)+前提・出典!$B$3*(1+前提・出典!$B$4)</f>
        <v/>
      </c>
      <c r="P25" s="6">
        <f>基礎データ!S25*(1+前提・出典!$B$2)+前提・出典!$B$3*(1+前提・出典!$B$4)</f>
        <v/>
      </c>
      <c r="Q25" s="6">
        <f>基礎データ!T25*(1+前提・出典!$B$2)+前提・出典!$B$3*(1+前提・出典!$B$4)</f>
        <v/>
      </c>
      <c r="R25" s="6">
        <f>基礎データ!U25*(1+前提・出典!$B$2)+前提・出典!$B$3*(1+前提・出典!$B$4)</f>
        <v/>
      </c>
      <c r="S25" s="6">
        <f>基礎データ!V25*(1+前提・出典!$B$2)+前提・出典!$B$3*(1+前提・出典!$B$4)</f>
        <v/>
      </c>
      <c r="T25" s="6">
        <f>基礎データ!W25*(1+前提・出典!$B$2)+前提・出典!$B$3*(1+前提・出典!$B$4)</f>
        <v/>
      </c>
      <c r="U25" s="6">
        <f>基礎データ!X25*(1+前提・出典!$B$2)+前提・出典!$B$3*(1+前提・出典!$B$4)</f>
        <v/>
      </c>
      <c r="V25" s="6">
        <f>基礎データ!Y25*(1+前提・出典!$B$2)+前提・出典!$B$3*(1+前提・出典!$B$4)</f>
        <v/>
      </c>
      <c r="W25" s="6">
        <f>基礎データ!Z25*(1+前提・出典!$B$2)+前提・出典!$B$3*(1+前提・出典!$B$4)</f>
        <v/>
      </c>
      <c r="X25" s="6">
        <f>基礎データ!AA25*(1+前提・出典!$B$2)+前提・出典!$B$3*(1+前提・出典!$B$4)</f>
        <v/>
      </c>
      <c r="Y25" s="6">
        <f>基礎データ!AB25*(1+前提・出典!$B$2)+前提・出典!$B$3*(1+前提・出典!$B$4)</f>
        <v/>
      </c>
      <c r="Z25" s="6">
        <f>基礎データ!AC25*(1+前提・出典!$B$2)+前提・出典!$B$3*(1+前提・出典!$B$4)</f>
        <v/>
      </c>
      <c r="AA25" s="6">
        <f>基礎データ!AD25*(1+前提・出典!$B$2)+前提・出典!$B$3*(1+前提・出典!$B$4)</f>
        <v/>
      </c>
      <c r="AB25" s="6">
        <f>基礎データ!AE25*(1+前提・出典!$B$2)+前提・出典!$B$3*(1+前提・出典!$B$4)</f>
        <v/>
      </c>
    </row>
    <row r="26">
      <c r="A26">
        <f>基礎データ!A26</f>
        <v/>
      </c>
      <c r="B26" s="6">
        <f>基礎データ!E26*(1+前提・出典!$B$2)+前提・出典!$B$3*(1+前提・出典!$B$4)</f>
        <v/>
      </c>
      <c r="C26" s="6">
        <f>基礎データ!F26*(1+前提・出典!$B$2)+前提・出典!$B$3*(1+前提・出典!$B$4)</f>
        <v/>
      </c>
      <c r="D26" s="6">
        <f>基礎データ!G26*(1+前提・出典!$B$2)+前提・出典!$B$3*(1+前提・出典!$B$4)</f>
        <v/>
      </c>
      <c r="E26" s="6">
        <f>基礎データ!H26*(1+前提・出典!$B$2)+前提・出典!$B$3*(1+前提・出典!$B$4)</f>
        <v/>
      </c>
      <c r="F26" s="6">
        <f>基礎データ!I26*(1+前提・出典!$B$2)+前提・出典!$B$3*(1+前提・出典!$B$4)</f>
        <v/>
      </c>
      <c r="G26" s="6">
        <f>基礎データ!J26*(1+前提・出典!$B$2)+前提・出典!$B$3*(1+前提・出典!$B$4)</f>
        <v/>
      </c>
      <c r="H26" s="6">
        <f>基礎データ!K26*(1+前提・出典!$B$2)+前提・出典!$B$3*(1+前提・出典!$B$4)</f>
        <v/>
      </c>
      <c r="I26" s="6">
        <f>基礎データ!L26*(1+前提・出典!$B$2)+前提・出典!$B$3*(1+前提・出典!$B$4)</f>
        <v/>
      </c>
      <c r="J26" s="6">
        <f>基礎データ!M26*(1+前提・出典!$B$2)+前提・出典!$B$3*(1+前提・出典!$B$4)</f>
        <v/>
      </c>
      <c r="K26" s="6">
        <f>基礎データ!N26*(1+前提・出典!$B$2)+前提・出典!$B$3*(1+前提・出典!$B$4)</f>
        <v/>
      </c>
      <c r="L26" s="6">
        <f>基礎データ!O26*(1+前提・出典!$B$2)+前提・出典!$B$3*(1+前提・出典!$B$4)</f>
        <v/>
      </c>
      <c r="M26" s="6">
        <f>基礎データ!P26*(1+前提・出典!$B$2)+前提・出典!$B$3*(1+前提・出典!$B$4)</f>
        <v/>
      </c>
      <c r="N26" s="6">
        <f>基礎データ!Q26*(1+前提・出典!$B$2)+前提・出典!$B$3*(1+前提・出典!$B$4)</f>
        <v/>
      </c>
      <c r="O26" s="6">
        <f>基礎データ!R26*(1+前提・出典!$B$2)+前提・出典!$B$3*(1+前提・出典!$B$4)</f>
        <v/>
      </c>
      <c r="P26" s="6">
        <f>基礎データ!S26*(1+前提・出典!$B$2)+前提・出典!$B$3*(1+前提・出典!$B$4)</f>
        <v/>
      </c>
      <c r="Q26" s="6">
        <f>基礎データ!T26*(1+前提・出典!$B$2)+前提・出典!$B$3*(1+前提・出典!$B$4)</f>
        <v/>
      </c>
      <c r="R26" s="6">
        <f>基礎データ!U26*(1+前提・出典!$B$2)+前提・出典!$B$3*(1+前提・出典!$B$4)</f>
        <v/>
      </c>
      <c r="S26" s="6">
        <f>基礎データ!V26*(1+前提・出典!$B$2)+前提・出典!$B$3*(1+前提・出典!$B$4)</f>
        <v/>
      </c>
      <c r="T26" s="6">
        <f>基礎データ!W26*(1+前提・出典!$B$2)+前提・出典!$B$3*(1+前提・出典!$B$4)</f>
        <v/>
      </c>
      <c r="U26" s="6">
        <f>基礎データ!X26*(1+前提・出典!$B$2)+前提・出典!$B$3*(1+前提・出典!$B$4)</f>
        <v/>
      </c>
      <c r="V26" s="6">
        <f>基礎データ!Y26*(1+前提・出典!$B$2)+前提・出典!$B$3*(1+前提・出典!$B$4)</f>
        <v/>
      </c>
      <c r="W26" s="6">
        <f>基礎データ!Z26*(1+前提・出典!$B$2)+前提・出典!$B$3*(1+前提・出典!$B$4)</f>
        <v/>
      </c>
      <c r="X26" s="6">
        <f>基礎データ!AA26*(1+前提・出典!$B$2)+前提・出典!$B$3*(1+前提・出典!$B$4)</f>
        <v/>
      </c>
      <c r="Y26" s="6">
        <f>基礎データ!AB26*(1+前提・出典!$B$2)+前提・出典!$B$3*(1+前提・出典!$B$4)</f>
        <v/>
      </c>
      <c r="Z26" s="6">
        <f>基礎データ!AC26*(1+前提・出典!$B$2)+前提・出典!$B$3*(1+前提・出典!$B$4)</f>
        <v/>
      </c>
      <c r="AA26" s="6">
        <f>基礎データ!AD26*(1+前提・出典!$B$2)+前提・出典!$B$3*(1+前提・出典!$B$4)</f>
        <v/>
      </c>
      <c r="AB26" s="6">
        <f>基礎データ!AE26*(1+前提・出典!$B$2)+前提・出典!$B$3*(1+前提・出典!$B$4)</f>
        <v/>
      </c>
    </row>
    <row r="27">
      <c r="A27">
        <f>基礎データ!A27</f>
        <v/>
      </c>
      <c r="B27" s="6">
        <f>基礎データ!E27*(1+前提・出典!$B$2)+前提・出典!$B$3*(1+前提・出典!$B$4)</f>
        <v/>
      </c>
      <c r="C27" s="6">
        <f>基礎データ!F27*(1+前提・出典!$B$2)+前提・出典!$B$3*(1+前提・出典!$B$4)</f>
        <v/>
      </c>
      <c r="D27" s="6">
        <f>基礎データ!G27*(1+前提・出典!$B$2)+前提・出典!$B$3*(1+前提・出典!$B$4)</f>
        <v/>
      </c>
      <c r="E27" s="6">
        <f>基礎データ!H27*(1+前提・出典!$B$2)+前提・出典!$B$3*(1+前提・出典!$B$4)</f>
        <v/>
      </c>
      <c r="F27" s="6">
        <f>基礎データ!I27*(1+前提・出典!$B$2)+前提・出典!$B$3*(1+前提・出典!$B$4)</f>
        <v/>
      </c>
      <c r="G27" s="6">
        <f>基礎データ!J27*(1+前提・出典!$B$2)+前提・出典!$B$3*(1+前提・出典!$B$4)</f>
        <v/>
      </c>
      <c r="H27" s="6">
        <f>基礎データ!K27*(1+前提・出典!$B$2)+前提・出典!$B$3*(1+前提・出典!$B$4)</f>
        <v/>
      </c>
      <c r="I27" s="6">
        <f>基礎データ!L27*(1+前提・出典!$B$2)+前提・出典!$B$3*(1+前提・出典!$B$4)</f>
        <v/>
      </c>
      <c r="J27" s="6">
        <f>基礎データ!M27*(1+前提・出典!$B$2)+前提・出典!$B$3*(1+前提・出典!$B$4)</f>
        <v/>
      </c>
      <c r="K27" s="6">
        <f>基礎データ!N27*(1+前提・出典!$B$2)+前提・出典!$B$3*(1+前提・出典!$B$4)</f>
        <v/>
      </c>
      <c r="L27" s="6">
        <f>基礎データ!O27*(1+前提・出典!$B$2)+前提・出典!$B$3*(1+前提・出典!$B$4)</f>
        <v/>
      </c>
      <c r="M27" s="6">
        <f>基礎データ!P27*(1+前提・出典!$B$2)+前提・出典!$B$3*(1+前提・出典!$B$4)</f>
        <v/>
      </c>
      <c r="N27" s="6">
        <f>基礎データ!Q27*(1+前提・出典!$B$2)+前提・出典!$B$3*(1+前提・出典!$B$4)</f>
        <v/>
      </c>
      <c r="O27" s="6">
        <f>基礎データ!R27*(1+前提・出典!$B$2)+前提・出典!$B$3*(1+前提・出典!$B$4)</f>
        <v/>
      </c>
      <c r="P27" s="6">
        <f>基礎データ!S27*(1+前提・出典!$B$2)+前提・出典!$B$3*(1+前提・出典!$B$4)</f>
        <v/>
      </c>
      <c r="Q27" s="6">
        <f>基礎データ!T27*(1+前提・出典!$B$2)+前提・出典!$B$3*(1+前提・出典!$B$4)</f>
        <v/>
      </c>
      <c r="R27" s="6">
        <f>基礎データ!U27*(1+前提・出典!$B$2)+前提・出典!$B$3*(1+前提・出典!$B$4)</f>
        <v/>
      </c>
      <c r="S27" s="6">
        <f>基礎データ!V27*(1+前提・出典!$B$2)+前提・出典!$B$3*(1+前提・出典!$B$4)</f>
        <v/>
      </c>
      <c r="T27" s="6">
        <f>基礎データ!W27*(1+前提・出典!$B$2)+前提・出典!$B$3*(1+前提・出典!$B$4)</f>
        <v/>
      </c>
      <c r="U27" s="6">
        <f>基礎データ!X27*(1+前提・出典!$B$2)+前提・出典!$B$3*(1+前提・出典!$B$4)</f>
        <v/>
      </c>
      <c r="V27" s="6">
        <f>基礎データ!Y27*(1+前提・出典!$B$2)+前提・出典!$B$3*(1+前提・出典!$B$4)</f>
        <v/>
      </c>
      <c r="W27" s="6">
        <f>基礎データ!Z27*(1+前提・出典!$B$2)+前提・出典!$B$3*(1+前提・出典!$B$4)</f>
        <v/>
      </c>
      <c r="X27" s="6">
        <f>基礎データ!AA27*(1+前提・出典!$B$2)+前提・出典!$B$3*(1+前提・出典!$B$4)</f>
        <v/>
      </c>
      <c r="Y27" s="6">
        <f>基礎データ!AB27*(1+前提・出典!$B$2)+前提・出典!$B$3*(1+前提・出典!$B$4)</f>
        <v/>
      </c>
      <c r="Z27" s="6">
        <f>基礎データ!AC27*(1+前提・出典!$B$2)+前提・出典!$B$3*(1+前提・出典!$B$4)</f>
        <v/>
      </c>
      <c r="AA27" s="6">
        <f>基礎データ!AD27*(1+前提・出典!$B$2)+前提・出典!$B$3*(1+前提・出典!$B$4)</f>
        <v/>
      </c>
      <c r="AB27" s="6">
        <f>基礎データ!AE27*(1+前提・出典!$B$2)+前提・出典!$B$3*(1+前提・出典!$B$4)</f>
        <v/>
      </c>
    </row>
    <row r="28">
      <c r="A28">
        <f>基礎データ!A28</f>
        <v/>
      </c>
      <c r="B28" s="6">
        <f>基礎データ!E28*(1+前提・出典!$B$2)+前提・出典!$B$3*(1+前提・出典!$B$4)</f>
        <v/>
      </c>
      <c r="C28" s="6">
        <f>基礎データ!F28*(1+前提・出典!$B$2)+前提・出典!$B$3*(1+前提・出典!$B$4)</f>
        <v/>
      </c>
      <c r="D28" s="6">
        <f>基礎データ!G28*(1+前提・出典!$B$2)+前提・出典!$B$3*(1+前提・出典!$B$4)</f>
        <v/>
      </c>
      <c r="E28" s="6">
        <f>基礎データ!H28*(1+前提・出典!$B$2)+前提・出典!$B$3*(1+前提・出典!$B$4)</f>
        <v/>
      </c>
      <c r="F28" s="6">
        <f>基礎データ!I28*(1+前提・出典!$B$2)+前提・出典!$B$3*(1+前提・出典!$B$4)</f>
        <v/>
      </c>
      <c r="G28" s="6">
        <f>基礎データ!J28*(1+前提・出典!$B$2)+前提・出典!$B$3*(1+前提・出典!$B$4)</f>
        <v/>
      </c>
      <c r="H28" s="6">
        <f>基礎データ!K28*(1+前提・出典!$B$2)+前提・出典!$B$3*(1+前提・出典!$B$4)</f>
        <v/>
      </c>
      <c r="I28" s="6">
        <f>基礎データ!L28*(1+前提・出典!$B$2)+前提・出典!$B$3*(1+前提・出典!$B$4)</f>
        <v/>
      </c>
      <c r="J28" s="6">
        <f>基礎データ!M28*(1+前提・出典!$B$2)+前提・出典!$B$3*(1+前提・出典!$B$4)</f>
        <v/>
      </c>
      <c r="K28" s="6">
        <f>基礎データ!N28*(1+前提・出典!$B$2)+前提・出典!$B$3*(1+前提・出典!$B$4)</f>
        <v/>
      </c>
      <c r="L28" s="6">
        <f>基礎データ!O28*(1+前提・出典!$B$2)+前提・出典!$B$3*(1+前提・出典!$B$4)</f>
        <v/>
      </c>
      <c r="M28" s="6">
        <f>基礎データ!P28*(1+前提・出典!$B$2)+前提・出典!$B$3*(1+前提・出典!$B$4)</f>
        <v/>
      </c>
      <c r="N28" s="6">
        <f>基礎データ!Q28*(1+前提・出典!$B$2)+前提・出典!$B$3*(1+前提・出典!$B$4)</f>
        <v/>
      </c>
      <c r="O28" s="6">
        <f>基礎データ!R28*(1+前提・出典!$B$2)+前提・出典!$B$3*(1+前提・出典!$B$4)</f>
        <v/>
      </c>
      <c r="P28" s="6">
        <f>基礎データ!S28*(1+前提・出典!$B$2)+前提・出典!$B$3*(1+前提・出典!$B$4)</f>
        <v/>
      </c>
      <c r="Q28" s="6">
        <f>基礎データ!T28*(1+前提・出典!$B$2)+前提・出典!$B$3*(1+前提・出典!$B$4)</f>
        <v/>
      </c>
      <c r="R28" s="6">
        <f>基礎データ!U28*(1+前提・出典!$B$2)+前提・出典!$B$3*(1+前提・出典!$B$4)</f>
        <v/>
      </c>
      <c r="S28" s="6">
        <f>基礎データ!V28*(1+前提・出典!$B$2)+前提・出典!$B$3*(1+前提・出典!$B$4)</f>
        <v/>
      </c>
      <c r="T28" s="6">
        <f>基礎データ!W28*(1+前提・出典!$B$2)+前提・出典!$B$3*(1+前提・出典!$B$4)</f>
        <v/>
      </c>
      <c r="U28" s="6">
        <f>基礎データ!X28*(1+前提・出典!$B$2)+前提・出典!$B$3*(1+前提・出典!$B$4)</f>
        <v/>
      </c>
      <c r="V28" s="6">
        <f>基礎データ!Y28*(1+前提・出典!$B$2)+前提・出典!$B$3*(1+前提・出典!$B$4)</f>
        <v/>
      </c>
      <c r="W28" s="6">
        <f>基礎データ!Z28*(1+前提・出典!$B$2)+前提・出典!$B$3*(1+前提・出典!$B$4)</f>
        <v/>
      </c>
      <c r="X28" s="6">
        <f>基礎データ!AA28*(1+前提・出典!$B$2)+前提・出典!$B$3*(1+前提・出典!$B$4)</f>
        <v/>
      </c>
      <c r="Y28" s="6">
        <f>基礎データ!AB28*(1+前提・出典!$B$2)+前提・出典!$B$3*(1+前提・出典!$B$4)</f>
        <v/>
      </c>
      <c r="Z28" s="6">
        <f>基礎データ!AC28*(1+前提・出典!$B$2)+前提・出典!$B$3*(1+前提・出典!$B$4)</f>
        <v/>
      </c>
      <c r="AA28" s="6">
        <f>基礎データ!AD28*(1+前提・出典!$B$2)+前提・出典!$B$3*(1+前提・出典!$B$4)</f>
        <v/>
      </c>
      <c r="AB28" s="6">
        <f>基礎データ!AE28*(1+前提・出典!$B$2)+前提・出典!$B$3*(1+前提・出典!$B$4)</f>
        <v/>
      </c>
    </row>
    <row r="29">
      <c r="A29">
        <f>基礎データ!A29</f>
        <v/>
      </c>
      <c r="B29" s="6">
        <f>基礎データ!E29*(1+前提・出典!$B$2)+前提・出典!$B$3*(1+前提・出典!$B$4)</f>
        <v/>
      </c>
      <c r="C29" s="6">
        <f>基礎データ!F29*(1+前提・出典!$B$2)+前提・出典!$B$3*(1+前提・出典!$B$4)</f>
        <v/>
      </c>
      <c r="D29" s="6">
        <f>基礎データ!G29*(1+前提・出典!$B$2)+前提・出典!$B$3*(1+前提・出典!$B$4)</f>
        <v/>
      </c>
      <c r="E29" s="6">
        <f>基礎データ!H29*(1+前提・出典!$B$2)+前提・出典!$B$3*(1+前提・出典!$B$4)</f>
        <v/>
      </c>
      <c r="F29" s="6">
        <f>基礎データ!I29*(1+前提・出典!$B$2)+前提・出典!$B$3*(1+前提・出典!$B$4)</f>
        <v/>
      </c>
      <c r="G29" s="6">
        <f>基礎データ!J29*(1+前提・出典!$B$2)+前提・出典!$B$3*(1+前提・出典!$B$4)</f>
        <v/>
      </c>
      <c r="H29" s="6">
        <f>基礎データ!K29*(1+前提・出典!$B$2)+前提・出典!$B$3*(1+前提・出典!$B$4)</f>
        <v/>
      </c>
      <c r="I29" s="6">
        <f>基礎データ!L29*(1+前提・出典!$B$2)+前提・出典!$B$3*(1+前提・出典!$B$4)</f>
        <v/>
      </c>
      <c r="J29" s="6">
        <f>基礎データ!M29*(1+前提・出典!$B$2)+前提・出典!$B$3*(1+前提・出典!$B$4)</f>
        <v/>
      </c>
      <c r="K29" s="6">
        <f>基礎データ!N29*(1+前提・出典!$B$2)+前提・出典!$B$3*(1+前提・出典!$B$4)</f>
        <v/>
      </c>
      <c r="L29" s="6">
        <f>基礎データ!O29*(1+前提・出典!$B$2)+前提・出典!$B$3*(1+前提・出典!$B$4)</f>
        <v/>
      </c>
      <c r="M29" s="6">
        <f>基礎データ!P29*(1+前提・出典!$B$2)+前提・出典!$B$3*(1+前提・出典!$B$4)</f>
        <v/>
      </c>
      <c r="N29" s="6">
        <f>基礎データ!Q29*(1+前提・出典!$B$2)+前提・出典!$B$3*(1+前提・出典!$B$4)</f>
        <v/>
      </c>
      <c r="O29" s="6">
        <f>基礎データ!R29*(1+前提・出典!$B$2)+前提・出典!$B$3*(1+前提・出典!$B$4)</f>
        <v/>
      </c>
      <c r="P29" s="6">
        <f>基礎データ!S29*(1+前提・出典!$B$2)+前提・出典!$B$3*(1+前提・出典!$B$4)</f>
        <v/>
      </c>
      <c r="Q29" s="6">
        <f>基礎データ!T29*(1+前提・出典!$B$2)+前提・出典!$B$3*(1+前提・出典!$B$4)</f>
        <v/>
      </c>
      <c r="R29" s="6">
        <f>基礎データ!U29*(1+前提・出典!$B$2)+前提・出典!$B$3*(1+前提・出典!$B$4)</f>
        <v/>
      </c>
      <c r="S29" s="6">
        <f>基礎データ!V29*(1+前提・出典!$B$2)+前提・出典!$B$3*(1+前提・出典!$B$4)</f>
        <v/>
      </c>
      <c r="T29" s="6">
        <f>基礎データ!W29*(1+前提・出典!$B$2)+前提・出典!$B$3*(1+前提・出典!$B$4)</f>
        <v/>
      </c>
      <c r="U29" s="6">
        <f>基礎データ!X29*(1+前提・出典!$B$2)+前提・出典!$B$3*(1+前提・出典!$B$4)</f>
        <v/>
      </c>
      <c r="V29" s="6">
        <f>基礎データ!Y29*(1+前提・出典!$B$2)+前提・出典!$B$3*(1+前提・出典!$B$4)</f>
        <v/>
      </c>
      <c r="W29" s="6">
        <f>基礎データ!Z29*(1+前提・出典!$B$2)+前提・出典!$B$3*(1+前提・出典!$B$4)</f>
        <v/>
      </c>
      <c r="X29" s="6">
        <f>基礎データ!AA29*(1+前提・出典!$B$2)+前提・出典!$B$3*(1+前提・出典!$B$4)</f>
        <v/>
      </c>
      <c r="Y29" s="6">
        <f>基礎データ!AB29*(1+前提・出典!$B$2)+前提・出典!$B$3*(1+前提・出典!$B$4)</f>
        <v/>
      </c>
      <c r="Z29" s="6">
        <f>基礎データ!AC29*(1+前提・出典!$B$2)+前提・出典!$B$3*(1+前提・出典!$B$4)</f>
        <v/>
      </c>
      <c r="AA29" s="6">
        <f>基礎データ!AD29*(1+前提・出典!$B$2)+前提・出典!$B$3*(1+前提・出典!$B$4)</f>
        <v/>
      </c>
      <c r="AB29" s="6">
        <f>基礎データ!AE29*(1+前提・出典!$B$2)+前提・出典!$B$3*(1+前提・出典!$B$4)</f>
        <v/>
      </c>
    </row>
    <row r="30">
      <c r="A30">
        <f>基礎データ!A30</f>
        <v/>
      </c>
      <c r="B30" s="6">
        <f>基礎データ!E30*(1+前提・出典!$B$2)+前提・出典!$B$3*(1+前提・出典!$B$4)</f>
        <v/>
      </c>
      <c r="C30" s="6">
        <f>基礎データ!F30*(1+前提・出典!$B$2)+前提・出典!$B$3*(1+前提・出典!$B$4)</f>
        <v/>
      </c>
      <c r="D30" s="6">
        <f>基礎データ!G30*(1+前提・出典!$B$2)+前提・出典!$B$3*(1+前提・出典!$B$4)</f>
        <v/>
      </c>
      <c r="E30" s="6">
        <f>基礎データ!H30*(1+前提・出典!$B$2)+前提・出典!$B$3*(1+前提・出典!$B$4)</f>
        <v/>
      </c>
      <c r="F30" s="6">
        <f>基礎データ!I30*(1+前提・出典!$B$2)+前提・出典!$B$3*(1+前提・出典!$B$4)</f>
        <v/>
      </c>
      <c r="G30" s="6">
        <f>基礎データ!J30*(1+前提・出典!$B$2)+前提・出典!$B$3*(1+前提・出典!$B$4)</f>
        <v/>
      </c>
      <c r="H30" s="6">
        <f>基礎データ!K30*(1+前提・出典!$B$2)+前提・出典!$B$3*(1+前提・出典!$B$4)</f>
        <v/>
      </c>
      <c r="I30" s="6">
        <f>基礎データ!L30*(1+前提・出典!$B$2)+前提・出典!$B$3*(1+前提・出典!$B$4)</f>
        <v/>
      </c>
      <c r="J30" s="6">
        <f>基礎データ!M30*(1+前提・出典!$B$2)+前提・出典!$B$3*(1+前提・出典!$B$4)</f>
        <v/>
      </c>
      <c r="K30" s="6">
        <f>基礎データ!N30*(1+前提・出典!$B$2)+前提・出典!$B$3*(1+前提・出典!$B$4)</f>
        <v/>
      </c>
      <c r="L30" s="6">
        <f>基礎データ!O30*(1+前提・出典!$B$2)+前提・出典!$B$3*(1+前提・出典!$B$4)</f>
        <v/>
      </c>
      <c r="M30" s="6">
        <f>基礎データ!P30*(1+前提・出典!$B$2)+前提・出典!$B$3*(1+前提・出典!$B$4)</f>
        <v/>
      </c>
      <c r="N30" s="6">
        <f>基礎データ!Q30*(1+前提・出典!$B$2)+前提・出典!$B$3*(1+前提・出典!$B$4)</f>
        <v/>
      </c>
      <c r="O30" s="6">
        <f>基礎データ!R30*(1+前提・出典!$B$2)+前提・出典!$B$3*(1+前提・出典!$B$4)</f>
        <v/>
      </c>
      <c r="P30" s="6">
        <f>基礎データ!S30*(1+前提・出典!$B$2)+前提・出典!$B$3*(1+前提・出典!$B$4)</f>
        <v/>
      </c>
      <c r="Q30" s="6">
        <f>基礎データ!T30*(1+前提・出典!$B$2)+前提・出典!$B$3*(1+前提・出典!$B$4)</f>
        <v/>
      </c>
      <c r="R30" s="6">
        <f>基礎データ!U30*(1+前提・出典!$B$2)+前提・出典!$B$3*(1+前提・出典!$B$4)</f>
        <v/>
      </c>
      <c r="S30" s="6">
        <f>基礎データ!V30*(1+前提・出典!$B$2)+前提・出典!$B$3*(1+前提・出典!$B$4)</f>
        <v/>
      </c>
      <c r="T30" s="6">
        <f>基礎データ!W30*(1+前提・出典!$B$2)+前提・出典!$B$3*(1+前提・出典!$B$4)</f>
        <v/>
      </c>
      <c r="U30" s="6">
        <f>基礎データ!X30*(1+前提・出典!$B$2)+前提・出典!$B$3*(1+前提・出典!$B$4)</f>
        <v/>
      </c>
      <c r="V30" s="6">
        <f>基礎データ!Y30*(1+前提・出典!$B$2)+前提・出典!$B$3*(1+前提・出典!$B$4)</f>
        <v/>
      </c>
      <c r="W30" s="6">
        <f>基礎データ!Z30*(1+前提・出典!$B$2)+前提・出典!$B$3*(1+前提・出典!$B$4)</f>
        <v/>
      </c>
      <c r="X30" s="6">
        <f>基礎データ!AA30*(1+前提・出典!$B$2)+前提・出典!$B$3*(1+前提・出典!$B$4)</f>
        <v/>
      </c>
      <c r="Y30" s="6">
        <f>基礎データ!AB30*(1+前提・出典!$B$2)+前提・出典!$B$3*(1+前提・出典!$B$4)</f>
        <v/>
      </c>
      <c r="Z30" s="6">
        <f>基礎データ!AC30*(1+前提・出典!$B$2)+前提・出典!$B$3*(1+前提・出典!$B$4)</f>
        <v/>
      </c>
      <c r="AA30" s="6">
        <f>基礎データ!AD30*(1+前提・出典!$B$2)+前提・出典!$B$3*(1+前提・出典!$B$4)</f>
        <v/>
      </c>
      <c r="AB30" s="6">
        <f>基礎データ!AE30*(1+前提・出典!$B$2)+前提・出典!$B$3*(1+前提・出典!$B$4)</f>
        <v/>
      </c>
    </row>
    <row r="31">
      <c r="A31">
        <f>基礎データ!A31</f>
        <v/>
      </c>
      <c r="B31" s="6">
        <f>基礎データ!E31*(1+前提・出典!$B$2)+前提・出典!$B$3*(1+前提・出典!$B$4)</f>
        <v/>
      </c>
      <c r="C31" s="6">
        <f>基礎データ!F31*(1+前提・出典!$B$2)+前提・出典!$B$3*(1+前提・出典!$B$4)</f>
        <v/>
      </c>
      <c r="D31" s="6">
        <f>基礎データ!G31*(1+前提・出典!$B$2)+前提・出典!$B$3*(1+前提・出典!$B$4)</f>
        <v/>
      </c>
      <c r="E31" s="6">
        <f>基礎データ!H31*(1+前提・出典!$B$2)+前提・出典!$B$3*(1+前提・出典!$B$4)</f>
        <v/>
      </c>
      <c r="F31" s="6">
        <f>基礎データ!I31*(1+前提・出典!$B$2)+前提・出典!$B$3*(1+前提・出典!$B$4)</f>
        <v/>
      </c>
      <c r="G31" s="6">
        <f>基礎データ!J31*(1+前提・出典!$B$2)+前提・出典!$B$3*(1+前提・出典!$B$4)</f>
        <v/>
      </c>
      <c r="H31" s="6">
        <f>基礎データ!K31*(1+前提・出典!$B$2)+前提・出典!$B$3*(1+前提・出典!$B$4)</f>
        <v/>
      </c>
      <c r="I31" s="6">
        <f>基礎データ!L31*(1+前提・出典!$B$2)+前提・出典!$B$3*(1+前提・出典!$B$4)</f>
        <v/>
      </c>
      <c r="J31" s="6">
        <f>基礎データ!M31*(1+前提・出典!$B$2)+前提・出典!$B$3*(1+前提・出典!$B$4)</f>
        <v/>
      </c>
      <c r="K31" s="6">
        <f>基礎データ!N31*(1+前提・出典!$B$2)+前提・出典!$B$3*(1+前提・出典!$B$4)</f>
        <v/>
      </c>
      <c r="L31" s="6">
        <f>基礎データ!O31*(1+前提・出典!$B$2)+前提・出典!$B$3*(1+前提・出典!$B$4)</f>
        <v/>
      </c>
      <c r="M31" s="6">
        <f>基礎データ!P31*(1+前提・出典!$B$2)+前提・出典!$B$3*(1+前提・出典!$B$4)</f>
        <v/>
      </c>
      <c r="N31" s="6">
        <f>基礎データ!Q31*(1+前提・出典!$B$2)+前提・出典!$B$3*(1+前提・出典!$B$4)</f>
        <v/>
      </c>
      <c r="O31" s="6">
        <f>基礎データ!R31*(1+前提・出典!$B$2)+前提・出典!$B$3*(1+前提・出典!$B$4)</f>
        <v/>
      </c>
      <c r="P31" s="6">
        <f>基礎データ!S31*(1+前提・出典!$B$2)+前提・出典!$B$3*(1+前提・出典!$B$4)</f>
        <v/>
      </c>
      <c r="Q31" s="6">
        <f>基礎データ!T31*(1+前提・出典!$B$2)+前提・出典!$B$3*(1+前提・出典!$B$4)</f>
        <v/>
      </c>
      <c r="R31" s="6">
        <f>基礎データ!U31*(1+前提・出典!$B$2)+前提・出典!$B$3*(1+前提・出典!$B$4)</f>
        <v/>
      </c>
      <c r="S31" s="6">
        <f>基礎データ!V31*(1+前提・出典!$B$2)+前提・出典!$B$3*(1+前提・出典!$B$4)</f>
        <v/>
      </c>
      <c r="T31" s="6">
        <f>基礎データ!W31*(1+前提・出典!$B$2)+前提・出典!$B$3*(1+前提・出典!$B$4)</f>
        <v/>
      </c>
      <c r="U31" s="6">
        <f>基礎データ!X31*(1+前提・出典!$B$2)+前提・出典!$B$3*(1+前提・出典!$B$4)</f>
        <v/>
      </c>
      <c r="V31" s="6">
        <f>基礎データ!Y31*(1+前提・出典!$B$2)+前提・出典!$B$3*(1+前提・出典!$B$4)</f>
        <v/>
      </c>
      <c r="W31" s="6">
        <f>基礎データ!Z31*(1+前提・出典!$B$2)+前提・出典!$B$3*(1+前提・出典!$B$4)</f>
        <v/>
      </c>
      <c r="X31" s="6">
        <f>基礎データ!AA31*(1+前提・出典!$B$2)+前提・出典!$B$3*(1+前提・出典!$B$4)</f>
        <v/>
      </c>
      <c r="Y31" s="6">
        <f>基礎データ!AB31*(1+前提・出典!$B$2)+前提・出典!$B$3*(1+前提・出典!$B$4)</f>
        <v/>
      </c>
      <c r="Z31" s="6">
        <f>基礎データ!AC31*(1+前提・出典!$B$2)+前提・出典!$B$3*(1+前提・出典!$B$4)</f>
        <v/>
      </c>
      <c r="AA31" s="6">
        <f>基礎データ!AD31*(1+前提・出典!$B$2)+前提・出典!$B$3*(1+前提・出典!$B$4)</f>
        <v/>
      </c>
      <c r="AB31" s="6">
        <f>基礎データ!AE31*(1+前提・出典!$B$2)+前提・出典!$B$3*(1+前提・出典!$B$4)</f>
        <v/>
      </c>
    </row>
    <row r="32">
      <c r="A32">
        <f>基礎データ!A32</f>
        <v/>
      </c>
      <c r="B32" s="6">
        <f>基礎データ!E32*(1+前提・出典!$B$2)+前提・出典!$B$3*(1+前提・出典!$B$4)</f>
        <v/>
      </c>
      <c r="C32" s="6">
        <f>基礎データ!F32*(1+前提・出典!$B$2)+前提・出典!$B$3*(1+前提・出典!$B$4)</f>
        <v/>
      </c>
      <c r="D32" s="6">
        <f>基礎データ!G32*(1+前提・出典!$B$2)+前提・出典!$B$3*(1+前提・出典!$B$4)</f>
        <v/>
      </c>
      <c r="E32" s="6">
        <f>基礎データ!H32*(1+前提・出典!$B$2)+前提・出典!$B$3*(1+前提・出典!$B$4)</f>
        <v/>
      </c>
      <c r="F32" s="6">
        <f>基礎データ!I32*(1+前提・出典!$B$2)+前提・出典!$B$3*(1+前提・出典!$B$4)</f>
        <v/>
      </c>
      <c r="G32" s="6">
        <f>基礎データ!J32*(1+前提・出典!$B$2)+前提・出典!$B$3*(1+前提・出典!$B$4)</f>
        <v/>
      </c>
      <c r="H32" s="6">
        <f>基礎データ!K32*(1+前提・出典!$B$2)+前提・出典!$B$3*(1+前提・出典!$B$4)</f>
        <v/>
      </c>
      <c r="I32" s="6">
        <f>基礎データ!L32*(1+前提・出典!$B$2)+前提・出典!$B$3*(1+前提・出典!$B$4)</f>
        <v/>
      </c>
      <c r="J32" s="6">
        <f>基礎データ!M32*(1+前提・出典!$B$2)+前提・出典!$B$3*(1+前提・出典!$B$4)</f>
        <v/>
      </c>
      <c r="K32" s="6">
        <f>基礎データ!N32*(1+前提・出典!$B$2)+前提・出典!$B$3*(1+前提・出典!$B$4)</f>
        <v/>
      </c>
      <c r="L32" s="6">
        <f>基礎データ!O32*(1+前提・出典!$B$2)+前提・出典!$B$3*(1+前提・出典!$B$4)</f>
        <v/>
      </c>
      <c r="M32" s="6">
        <f>基礎データ!P32*(1+前提・出典!$B$2)+前提・出典!$B$3*(1+前提・出典!$B$4)</f>
        <v/>
      </c>
      <c r="N32" s="6">
        <f>基礎データ!Q32*(1+前提・出典!$B$2)+前提・出典!$B$3*(1+前提・出典!$B$4)</f>
        <v/>
      </c>
      <c r="O32" s="6">
        <f>基礎データ!R32*(1+前提・出典!$B$2)+前提・出典!$B$3*(1+前提・出典!$B$4)</f>
        <v/>
      </c>
      <c r="P32" s="6">
        <f>基礎データ!S32*(1+前提・出典!$B$2)+前提・出典!$B$3*(1+前提・出典!$B$4)</f>
        <v/>
      </c>
      <c r="Q32" s="6">
        <f>基礎データ!T32*(1+前提・出典!$B$2)+前提・出典!$B$3*(1+前提・出典!$B$4)</f>
        <v/>
      </c>
      <c r="R32" s="6">
        <f>基礎データ!U32*(1+前提・出典!$B$2)+前提・出典!$B$3*(1+前提・出典!$B$4)</f>
        <v/>
      </c>
      <c r="S32" s="6">
        <f>基礎データ!V32*(1+前提・出典!$B$2)+前提・出典!$B$3*(1+前提・出典!$B$4)</f>
        <v/>
      </c>
      <c r="T32" s="6">
        <f>基礎データ!W32*(1+前提・出典!$B$2)+前提・出典!$B$3*(1+前提・出典!$B$4)</f>
        <v/>
      </c>
      <c r="U32" s="6">
        <f>基礎データ!X32*(1+前提・出典!$B$2)+前提・出典!$B$3*(1+前提・出典!$B$4)</f>
        <v/>
      </c>
      <c r="V32" s="6">
        <f>基礎データ!Y32*(1+前提・出典!$B$2)+前提・出典!$B$3*(1+前提・出典!$B$4)</f>
        <v/>
      </c>
      <c r="W32" s="6">
        <f>基礎データ!Z32*(1+前提・出典!$B$2)+前提・出典!$B$3*(1+前提・出典!$B$4)</f>
        <v/>
      </c>
      <c r="X32" s="6">
        <f>基礎データ!AA32*(1+前提・出典!$B$2)+前提・出典!$B$3*(1+前提・出典!$B$4)</f>
        <v/>
      </c>
      <c r="Y32" s="6">
        <f>基礎データ!AB32*(1+前提・出典!$B$2)+前提・出典!$B$3*(1+前提・出典!$B$4)</f>
        <v/>
      </c>
      <c r="Z32" s="6">
        <f>基礎データ!AC32*(1+前提・出典!$B$2)+前提・出典!$B$3*(1+前提・出典!$B$4)</f>
        <v/>
      </c>
      <c r="AA32" s="6">
        <f>基礎データ!AD32*(1+前提・出典!$B$2)+前提・出典!$B$3*(1+前提・出典!$B$4)</f>
        <v/>
      </c>
      <c r="AB32" s="6">
        <f>基礎データ!AE32*(1+前提・出典!$B$2)+前提・出典!$B$3*(1+前提・出典!$B$4)</f>
        <v/>
      </c>
    </row>
    <row r="33">
      <c r="A33">
        <f>基礎データ!A33</f>
        <v/>
      </c>
      <c r="B33" s="6">
        <f>基礎データ!E33*(1+前提・出典!$B$2)+前提・出典!$B$3*(1+前提・出典!$B$4)</f>
        <v/>
      </c>
      <c r="C33" s="6">
        <f>基礎データ!F33*(1+前提・出典!$B$2)+前提・出典!$B$3*(1+前提・出典!$B$4)</f>
        <v/>
      </c>
      <c r="D33" s="6">
        <f>基礎データ!G33*(1+前提・出典!$B$2)+前提・出典!$B$3*(1+前提・出典!$B$4)</f>
        <v/>
      </c>
      <c r="E33" s="6">
        <f>基礎データ!H33*(1+前提・出典!$B$2)+前提・出典!$B$3*(1+前提・出典!$B$4)</f>
        <v/>
      </c>
      <c r="F33" s="6">
        <f>基礎データ!I33*(1+前提・出典!$B$2)+前提・出典!$B$3*(1+前提・出典!$B$4)</f>
        <v/>
      </c>
      <c r="G33" s="6">
        <f>基礎データ!J33*(1+前提・出典!$B$2)+前提・出典!$B$3*(1+前提・出典!$B$4)</f>
        <v/>
      </c>
      <c r="H33" s="6">
        <f>基礎データ!K33*(1+前提・出典!$B$2)+前提・出典!$B$3*(1+前提・出典!$B$4)</f>
        <v/>
      </c>
      <c r="I33" s="6">
        <f>基礎データ!L33*(1+前提・出典!$B$2)+前提・出典!$B$3*(1+前提・出典!$B$4)</f>
        <v/>
      </c>
      <c r="J33" s="6">
        <f>基礎データ!M33*(1+前提・出典!$B$2)+前提・出典!$B$3*(1+前提・出典!$B$4)</f>
        <v/>
      </c>
      <c r="K33" s="6">
        <f>基礎データ!N33*(1+前提・出典!$B$2)+前提・出典!$B$3*(1+前提・出典!$B$4)</f>
        <v/>
      </c>
      <c r="L33" s="6">
        <f>基礎データ!O33*(1+前提・出典!$B$2)+前提・出典!$B$3*(1+前提・出典!$B$4)</f>
        <v/>
      </c>
      <c r="M33" s="6">
        <f>基礎データ!P33*(1+前提・出典!$B$2)+前提・出典!$B$3*(1+前提・出典!$B$4)</f>
        <v/>
      </c>
      <c r="N33" s="6">
        <f>基礎データ!Q33*(1+前提・出典!$B$2)+前提・出典!$B$3*(1+前提・出典!$B$4)</f>
        <v/>
      </c>
      <c r="O33" s="6">
        <f>基礎データ!R33*(1+前提・出典!$B$2)+前提・出典!$B$3*(1+前提・出典!$B$4)</f>
        <v/>
      </c>
      <c r="P33" s="6">
        <f>基礎データ!S33*(1+前提・出典!$B$2)+前提・出典!$B$3*(1+前提・出典!$B$4)</f>
        <v/>
      </c>
      <c r="Q33" s="6">
        <f>基礎データ!T33*(1+前提・出典!$B$2)+前提・出典!$B$3*(1+前提・出典!$B$4)</f>
        <v/>
      </c>
      <c r="R33" s="6">
        <f>基礎データ!U33*(1+前提・出典!$B$2)+前提・出典!$B$3*(1+前提・出典!$B$4)</f>
        <v/>
      </c>
      <c r="S33" s="6">
        <f>基礎データ!V33*(1+前提・出典!$B$2)+前提・出典!$B$3*(1+前提・出典!$B$4)</f>
        <v/>
      </c>
      <c r="T33" s="6">
        <f>基礎データ!W33*(1+前提・出典!$B$2)+前提・出典!$B$3*(1+前提・出典!$B$4)</f>
        <v/>
      </c>
      <c r="U33" s="6">
        <f>基礎データ!X33*(1+前提・出典!$B$2)+前提・出典!$B$3*(1+前提・出典!$B$4)</f>
        <v/>
      </c>
      <c r="V33" s="6">
        <f>基礎データ!Y33*(1+前提・出典!$B$2)+前提・出典!$B$3*(1+前提・出典!$B$4)</f>
        <v/>
      </c>
      <c r="W33" s="6">
        <f>基礎データ!Z33*(1+前提・出典!$B$2)+前提・出典!$B$3*(1+前提・出典!$B$4)</f>
        <v/>
      </c>
      <c r="X33" s="6">
        <f>基礎データ!AA33*(1+前提・出典!$B$2)+前提・出典!$B$3*(1+前提・出典!$B$4)</f>
        <v/>
      </c>
      <c r="Y33" s="6">
        <f>基礎データ!AB33*(1+前提・出典!$B$2)+前提・出典!$B$3*(1+前提・出典!$B$4)</f>
        <v/>
      </c>
      <c r="Z33" s="6">
        <f>基礎データ!AC33*(1+前提・出典!$B$2)+前提・出典!$B$3*(1+前提・出典!$B$4)</f>
        <v/>
      </c>
      <c r="AA33" s="6">
        <f>基礎データ!AD33*(1+前提・出典!$B$2)+前提・出典!$B$3*(1+前提・出典!$B$4)</f>
        <v/>
      </c>
      <c r="AB33" s="6">
        <f>基礎データ!AE33*(1+前提・出典!$B$2)+前提・出典!$B$3*(1+前提・出典!$B$4)</f>
        <v/>
      </c>
    </row>
    <row r="34">
      <c r="A34">
        <f>基礎データ!A34</f>
        <v/>
      </c>
      <c r="B34" s="6">
        <f>基礎データ!E34*(1+前提・出典!$B$2)+前提・出典!$B$3*(1+前提・出典!$B$4)</f>
        <v/>
      </c>
      <c r="C34" s="6">
        <f>基礎データ!F34*(1+前提・出典!$B$2)+前提・出典!$B$3*(1+前提・出典!$B$4)</f>
        <v/>
      </c>
      <c r="D34" s="6">
        <f>基礎データ!G34*(1+前提・出典!$B$2)+前提・出典!$B$3*(1+前提・出典!$B$4)</f>
        <v/>
      </c>
      <c r="E34" s="6">
        <f>基礎データ!H34*(1+前提・出典!$B$2)+前提・出典!$B$3*(1+前提・出典!$B$4)</f>
        <v/>
      </c>
      <c r="F34" s="6">
        <f>基礎データ!I34*(1+前提・出典!$B$2)+前提・出典!$B$3*(1+前提・出典!$B$4)</f>
        <v/>
      </c>
      <c r="G34" s="6">
        <f>基礎データ!J34*(1+前提・出典!$B$2)+前提・出典!$B$3*(1+前提・出典!$B$4)</f>
        <v/>
      </c>
      <c r="H34" s="6">
        <f>基礎データ!K34*(1+前提・出典!$B$2)+前提・出典!$B$3*(1+前提・出典!$B$4)</f>
        <v/>
      </c>
      <c r="I34" s="6">
        <f>基礎データ!L34*(1+前提・出典!$B$2)+前提・出典!$B$3*(1+前提・出典!$B$4)</f>
        <v/>
      </c>
      <c r="J34" s="6">
        <f>基礎データ!M34*(1+前提・出典!$B$2)+前提・出典!$B$3*(1+前提・出典!$B$4)</f>
        <v/>
      </c>
      <c r="K34" s="6">
        <f>基礎データ!N34*(1+前提・出典!$B$2)+前提・出典!$B$3*(1+前提・出典!$B$4)</f>
        <v/>
      </c>
      <c r="L34" s="6">
        <f>基礎データ!O34*(1+前提・出典!$B$2)+前提・出典!$B$3*(1+前提・出典!$B$4)</f>
        <v/>
      </c>
      <c r="M34" s="6">
        <f>基礎データ!P34*(1+前提・出典!$B$2)+前提・出典!$B$3*(1+前提・出典!$B$4)</f>
        <v/>
      </c>
      <c r="N34" s="6">
        <f>基礎データ!Q34*(1+前提・出典!$B$2)+前提・出典!$B$3*(1+前提・出典!$B$4)</f>
        <v/>
      </c>
      <c r="O34" s="6">
        <f>基礎データ!R34*(1+前提・出典!$B$2)+前提・出典!$B$3*(1+前提・出典!$B$4)</f>
        <v/>
      </c>
      <c r="P34" s="6">
        <f>基礎データ!S34*(1+前提・出典!$B$2)+前提・出典!$B$3*(1+前提・出典!$B$4)</f>
        <v/>
      </c>
      <c r="Q34" s="6">
        <f>基礎データ!T34*(1+前提・出典!$B$2)+前提・出典!$B$3*(1+前提・出典!$B$4)</f>
        <v/>
      </c>
      <c r="R34" s="6">
        <f>基礎データ!U34*(1+前提・出典!$B$2)+前提・出典!$B$3*(1+前提・出典!$B$4)</f>
        <v/>
      </c>
      <c r="S34" s="6">
        <f>基礎データ!V34*(1+前提・出典!$B$2)+前提・出典!$B$3*(1+前提・出典!$B$4)</f>
        <v/>
      </c>
      <c r="T34" s="6">
        <f>基礎データ!W34*(1+前提・出典!$B$2)+前提・出典!$B$3*(1+前提・出典!$B$4)</f>
        <v/>
      </c>
      <c r="U34" s="6">
        <f>基礎データ!X34*(1+前提・出典!$B$2)+前提・出典!$B$3*(1+前提・出典!$B$4)</f>
        <v/>
      </c>
      <c r="V34" s="6">
        <f>基礎データ!Y34*(1+前提・出典!$B$2)+前提・出典!$B$3*(1+前提・出典!$B$4)</f>
        <v/>
      </c>
      <c r="W34" s="6">
        <f>基礎データ!Z34*(1+前提・出典!$B$2)+前提・出典!$B$3*(1+前提・出典!$B$4)</f>
        <v/>
      </c>
      <c r="X34" s="6">
        <f>基礎データ!AA34*(1+前提・出典!$B$2)+前提・出典!$B$3*(1+前提・出典!$B$4)</f>
        <v/>
      </c>
      <c r="Y34" s="6">
        <f>基礎データ!AB34*(1+前提・出典!$B$2)+前提・出典!$B$3*(1+前提・出典!$B$4)</f>
        <v/>
      </c>
      <c r="Z34" s="6">
        <f>基礎データ!AC34*(1+前提・出典!$B$2)+前提・出典!$B$3*(1+前提・出典!$B$4)</f>
        <v/>
      </c>
      <c r="AA34" s="6">
        <f>基礎データ!AD34*(1+前提・出典!$B$2)+前提・出典!$B$3*(1+前提・出典!$B$4)</f>
        <v/>
      </c>
      <c r="AB34" s="6">
        <f>基礎データ!AE34*(1+前提・出典!$B$2)+前提・出典!$B$3*(1+前提・出典!$B$4)</f>
        <v/>
      </c>
    </row>
    <row r="35">
      <c r="A35">
        <f>基礎データ!A35</f>
        <v/>
      </c>
      <c r="B35" s="6">
        <f>基礎データ!E35*(1+前提・出典!$B$2)+前提・出典!$B$3*(1+前提・出典!$B$4)</f>
        <v/>
      </c>
      <c r="C35" s="6">
        <f>基礎データ!F35*(1+前提・出典!$B$2)+前提・出典!$B$3*(1+前提・出典!$B$4)</f>
        <v/>
      </c>
      <c r="D35" s="6">
        <f>基礎データ!G35*(1+前提・出典!$B$2)+前提・出典!$B$3*(1+前提・出典!$B$4)</f>
        <v/>
      </c>
      <c r="E35" s="6">
        <f>基礎データ!H35*(1+前提・出典!$B$2)+前提・出典!$B$3*(1+前提・出典!$B$4)</f>
        <v/>
      </c>
      <c r="F35" s="6">
        <f>基礎データ!I35*(1+前提・出典!$B$2)+前提・出典!$B$3*(1+前提・出典!$B$4)</f>
        <v/>
      </c>
      <c r="G35" s="6">
        <f>基礎データ!J35*(1+前提・出典!$B$2)+前提・出典!$B$3*(1+前提・出典!$B$4)</f>
        <v/>
      </c>
      <c r="H35" s="6">
        <f>基礎データ!K35*(1+前提・出典!$B$2)+前提・出典!$B$3*(1+前提・出典!$B$4)</f>
        <v/>
      </c>
      <c r="I35" s="6">
        <f>基礎データ!L35*(1+前提・出典!$B$2)+前提・出典!$B$3*(1+前提・出典!$B$4)</f>
        <v/>
      </c>
      <c r="J35" s="6">
        <f>基礎データ!M35*(1+前提・出典!$B$2)+前提・出典!$B$3*(1+前提・出典!$B$4)</f>
        <v/>
      </c>
      <c r="K35" s="6">
        <f>基礎データ!N35*(1+前提・出典!$B$2)+前提・出典!$B$3*(1+前提・出典!$B$4)</f>
        <v/>
      </c>
      <c r="L35" s="6">
        <f>基礎データ!O35*(1+前提・出典!$B$2)+前提・出典!$B$3*(1+前提・出典!$B$4)</f>
        <v/>
      </c>
      <c r="M35" s="6">
        <f>基礎データ!P35*(1+前提・出典!$B$2)+前提・出典!$B$3*(1+前提・出典!$B$4)</f>
        <v/>
      </c>
      <c r="N35" s="6">
        <f>基礎データ!Q35*(1+前提・出典!$B$2)+前提・出典!$B$3*(1+前提・出典!$B$4)</f>
        <v/>
      </c>
      <c r="O35" s="6">
        <f>基礎データ!R35*(1+前提・出典!$B$2)+前提・出典!$B$3*(1+前提・出典!$B$4)</f>
        <v/>
      </c>
      <c r="P35" s="6">
        <f>基礎データ!S35*(1+前提・出典!$B$2)+前提・出典!$B$3*(1+前提・出典!$B$4)</f>
        <v/>
      </c>
      <c r="Q35" s="6">
        <f>基礎データ!T35*(1+前提・出典!$B$2)+前提・出典!$B$3*(1+前提・出典!$B$4)</f>
        <v/>
      </c>
      <c r="R35" s="6">
        <f>基礎データ!U35*(1+前提・出典!$B$2)+前提・出典!$B$3*(1+前提・出典!$B$4)</f>
        <v/>
      </c>
      <c r="S35" s="6">
        <f>基礎データ!V35*(1+前提・出典!$B$2)+前提・出典!$B$3*(1+前提・出典!$B$4)</f>
        <v/>
      </c>
      <c r="T35" s="6">
        <f>基礎データ!W35*(1+前提・出典!$B$2)+前提・出典!$B$3*(1+前提・出典!$B$4)</f>
        <v/>
      </c>
      <c r="U35" s="6">
        <f>基礎データ!X35*(1+前提・出典!$B$2)+前提・出典!$B$3*(1+前提・出典!$B$4)</f>
        <v/>
      </c>
      <c r="V35" s="6">
        <f>基礎データ!Y35*(1+前提・出典!$B$2)+前提・出典!$B$3*(1+前提・出典!$B$4)</f>
        <v/>
      </c>
      <c r="W35" s="6">
        <f>基礎データ!Z35*(1+前提・出典!$B$2)+前提・出典!$B$3*(1+前提・出典!$B$4)</f>
        <v/>
      </c>
      <c r="X35" s="6">
        <f>基礎データ!AA35*(1+前提・出典!$B$2)+前提・出典!$B$3*(1+前提・出典!$B$4)</f>
        <v/>
      </c>
      <c r="Y35" s="6">
        <f>基礎データ!AB35*(1+前提・出典!$B$2)+前提・出典!$B$3*(1+前提・出典!$B$4)</f>
        <v/>
      </c>
      <c r="Z35" s="6">
        <f>基礎データ!AC35*(1+前提・出典!$B$2)+前提・出典!$B$3*(1+前提・出典!$B$4)</f>
        <v/>
      </c>
      <c r="AA35" s="6">
        <f>基礎データ!AD35*(1+前提・出典!$B$2)+前提・出典!$B$3*(1+前提・出典!$B$4)</f>
        <v/>
      </c>
      <c r="AB35" s="6">
        <f>基礎データ!AE35*(1+前提・出典!$B$2)+前提・出典!$B$3*(1+前提・出典!$B$4)</f>
        <v/>
      </c>
    </row>
    <row r="36">
      <c r="A36">
        <f>基礎データ!A36</f>
        <v/>
      </c>
      <c r="B36" s="6">
        <f>基礎データ!E36*(1+前提・出典!$B$2)+前提・出典!$B$3*(1+前提・出典!$B$4)</f>
        <v/>
      </c>
      <c r="C36" s="6">
        <f>基礎データ!F36*(1+前提・出典!$B$2)+前提・出典!$B$3*(1+前提・出典!$B$4)</f>
        <v/>
      </c>
      <c r="D36" s="6">
        <f>基礎データ!G36*(1+前提・出典!$B$2)+前提・出典!$B$3*(1+前提・出典!$B$4)</f>
        <v/>
      </c>
      <c r="E36" s="6">
        <f>基礎データ!H36*(1+前提・出典!$B$2)+前提・出典!$B$3*(1+前提・出典!$B$4)</f>
        <v/>
      </c>
      <c r="F36" s="6">
        <f>基礎データ!I36*(1+前提・出典!$B$2)+前提・出典!$B$3*(1+前提・出典!$B$4)</f>
        <v/>
      </c>
      <c r="G36" s="6">
        <f>基礎データ!J36*(1+前提・出典!$B$2)+前提・出典!$B$3*(1+前提・出典!$B$4)</f>
        <v/>
      </c>
      <c r="H36" s="6">
        <f>基礎データ!K36*(1+前提・出典!$B$2)+前提・出典!$B$3*(1+前提・出典!$B$4)</f>
        <v/>
      </c>
      <c r="I36" s="6">
        <f>基礎データ!L36*(1+前提・出典!$B$2)+前提・出典!$B$3*(1+前提・出典!$B$4)</f>
        <v/>
      </c>
      <c r="J36" s="6">
        <f>基礎データ!M36*(1+前提・出典!$B$2)+前提・出典!$B$3*(1+前提・出典!$B$4)</f>
        <v/>
      </c>
      <c r="K36" s="6">
        <f>基礎データ!N36*(1+前提・出典!$B$2)+前提・出典!$B$3*(1+前提・出典!$B$4)</f>
        <v/>
      </c>
      <c r="L36" s="6">
        <f>基礎データ!O36*(1+前提・出典!$B$2)+前提・出典!$B$3*(1+前提・出典!$B$4)</f>
        <v/>
      </c>
      <c r="M36" s="6">
        <f>基礎データ!P36*(1+前提・出典!$B$2)+前提・出典!$B$3*(1+前提・出典!$B$4)</f>
        <v/>
      </c>
      <c r="N36" s="6">
        <f>基礎データ!Q36*(1+前提・出典!$B$2)+前提・出典!$B$3*(1+前提・出典!$B$4)</f>
        <v/>
      </c>
      <c r="O36" s="6">
        <f>基礎データ!R36*(1+前提・出典!$B$2)+前提・出典!$B$3*(1+前提・出典!$B$4)</f>
        <v/>
      </c>
      <c r="P36" s="6">
        <f>基礎データ!S36*(1+前提・出典!$B$2)+前提・出典!$B$3*(1+前提・出典!$B$4)</f>
        <v/>
      </c>
      <c r="Q36" s="6">
        <f>基礎データ!T36*(1+前提・出典!$B$2)+前提・出典!$B$3*(1+前提・出典!$B$4)</f>
        <v/>
      </c>
      <c r="R36" s="6">
        <f>基礎データ!U36*(1+前提・出典!$B$2)+前提・出典!$B$3*(1+前提・出典!$B$4)</f>
        <v/>
      </c>
      <c r="S36" s="6">
        <f>基礎データ!V36*(1+前提・出典!$B$2)+前提・出典!$B$3*(1+前提・出典!$B$4)</f>
        <v/>
      </c>
      <c r="T36" s="6">
        <f>基礎データ!W36*(1+前提・出典!$B$2)+前提・出典!$B$3*(1+前提・出典!$B$4)</f>
        <v/>
      </c>
      <c r="U36" s="6">
        <f>基礎データ!X36*(1+前提・出典!$B$2)+前提・出典!$B$3*(1+前提・出典!$B$4)</f>
        <v/>
      </c>
      <c r="V36" s="6">
        <f>基礎データ!Y36*(1+前提・出典!$B$2)+前提・出典!$B$3*(1+前提・出典!$B$4)</f>
        <v/>
      </c>
      <c r="W36" s="6">
        <f>基礎データ!Z36*(1+前提・出典!$B$2)+前提・出典!$B$3*(1+前提・出典!$B$4)</f>
        <v/>
      </c>
      <c r="X36" s="6">
        <f>基礎データ!AA36*(1+前提・出典!$B$2)+前提・出典!$B$3*(1+前提・出典!$B$4)</f>
        <v/>
      </c>
      <c r="Y36" s="6">
        <f>基礎データ!AB36*(1+前提・出典!$B$2)+前提・出典!$B$3*(1+前提・出典!$B$4)</f>
        <v/>
      </c>
      <c r="Z36" s="6">
        <f>基礎データ!AC36*(1+前提・出典!$B$2)+前提・出典!$B$3*(1+前提・出典!$B$4)</f>
        <v/>
      </c>
      <c r="AA36" s="6">
        <f>基礎データ!AD36*(1+前提・出典!$B$2)+前提・出典!$B$3*(1+前提・出典!$B$4)</f>
        <v/>
      </c>
      <c r="AB36" s="6">
        <f>基礎データ!AE36*(1+前提・出典!$B$2)+前提・出典!$B$3*(1+前提・出典!$B$4)</f>
        <v/>
      </c>
    </row>
    <row r="37">
      <c r="A37">
        <f>基礎データ!A37</f>
        <v/>
      </c>
      <c r="B37" s="6">
        <f>基礎データ!E37*(1+前提・出典!$B$2)+前提・出典!$B$3*(1+前提・出典!$B$4)</f>
        <v/>
      </c>
      <c r="C37" s="6">
        <f>基礎データ!F37*(1+前提・出典!$B$2)+前提・出典!$B$3*(1+前提・出典!$B$4)</f>
        <v/>
      </c>
      <c r="D37" s="6">
        <f>基礎データ!G37*(1+前提・出典!$B$2)+前提・出典!$B$3*(1+前提・出典!$B$4)</f>
        <v/>
      </c>
      <c r="E37" s="6">
        <f>基礎データ!H37*(1+前提・出典!$B$2)+前提・出典!$B$3*(1+前提・出典!$B$4)</f>
        <v/>
      </c>
      <c r="F37" s="6">
        <f>基礎データ!I37*(1+前提・出典!$B$2)+前提・出典!$B$3*(1+前提・出典!$B$4)</f>
        <v/>
      </c>
      <c r="G37" s="6">
        <f>基礎データ!J37*(1+前提・出典!$B$2)+前提・出典!$B$3*(1+前提・出典!$B$4)</f>
        <v/>
      </c>
      <c r="H37" s="6">
        <f>基礎データ!K37*(1+前提・出典!$B$2)+前提・出典!$B$3*(1+前提・出典!$B$4)</f>
        <v/>
      </c>
      <c r="I37" s="6">
        <f>基礎データ!L37*(1+前提・出典!$B$2)+前提・出典!$B$3*(1+前提・出典!$B$4)</f>
        <v/>
      </c>
      <c r="J37" s="6">
        <f>基礎データ!M37*(1+前提・出典!$B$2)+前提・出典!$B$3*(1+前提・出典!$B$4)</f>
        <v/>
      </c>
      <c r="K37" s="6">
        <f>基礎データ!N37*(1+前提・出典!$B$2)+前提・出典!$B$3*(1+前提・出典!$B$4)</f>
        <v/>
      </c>
      <c r="L37" s="6">
        <f>基礎データ!O37*(1+前提・出典!$B$2)+前提・出典!$B$3*(1+前提・出典!$B$4)</f>
        <v/>
      </c>
      <c r="M37" s="6">
        <f>基礎データ!P37*(1+前提・出典!$B$2)+前提・出典!$B$3*(1+前提・出典!$B$4)</f>
        <v/>
      </c>
      <c r="N37" s="6">
        <f>基礎データ!Q37*(1+前提・出典!$B$2)+前提・出典!$B$3*(1+前提・出典!$B$4)</f>
        <v/>
      </c>
      <c r="O37" s="6">
        <f>基礎データ!R37*(1+前提・出典!$B$2)+前提・出典!$B$3*(1+前提・出典!$B$4)</f>
        <v/>
      </c>
      <c r="P37" s="6">
        <f>基礎データ!S37*(1+前提・出典!$B$2)+前提・出典!$B$3*(1+前提・出典!$B$4)</f>
        <v/>
      </c>
      <c r="Q37" s="6">
        <f>基礎データ!T37*(1+前提・出典!$B$2)+前提・出典!$B$3*(1+前提・出典!$B$4)</f>
        <v/>
      </c>
      <c r="R37" s="6">
        <f>基礎データ!U37*(1+前提・出典!$B$2)+前提・出典!$B$3*(1+前提・出典!$B$4)</f>
        <v/>
      </c>
      <c r="S37" s="6">
        <f>基礎データ!V37*(1+前提・出典!$B$2)+前提・出典!$B$3*(1+前提・出典!$B$4)</f>
        <v/>
      </c>
      <c r="T37" s="6">
        <f>基礎データ!W37*(1+前提・出典!$B$2)+前提・出典!$B$3*(1+前提・出典!$B$4)</f>
        <v/>
      </c>
      <c r="U37" s="6">
        <f>基礎データ!X37*(1+前提・出典!$B$2)+前提・出典!$B$3*(1+前提・出典!$B$4)</f>
        <v/>
      </c>
      <c r="V37" s="6">
        <f>基礎データ!Y37*(1+前提・出典!$B$2)+前提・出典!$B$3*(1+前提・出典!$B$4)</f>
        <v/>
      </c>
      <c r="W37" s="6">
        <f>基礎データ!Z37*(1+前提・出典!$B$2)+前提・出典!$B$3*(1+前提・出典!$B$4)</f>
        <v/>
      </c>
      <c r="X37" s="6">
        <f>基礎データ!AA37*(1+前提・出典!$B$2)+前提・出典!$B$3*(1+前提・出典!$B$4)</f>
        <v/>
      </c>
      <c r="Y37" s="6">
        <f>基礎データ!AB37*(1+前提・出典!$B$2)+前提・出典!$B$3*(1+前提・出典!$B$4)</f>
        <v/>
      </c>
      <c r="Z37" s="6">
        <f>基礎データ!AC37*(1+前提・出典!$B$2)+前提・出典!$B$3*(1+前提・出典!$B$4)</f>
        <v/>
      </c>
      <c r="AA37" s="6">
        <f>基礎データ!AD37*(1+前提・出典!$B$2)+前提・出典!$B$3*(1+前提・出典!$B$4)</f>
        <v/>
      </c>
      <c r="AB37" s="6">
        <f>基礎データ!AE37*(1+前提・出典!$B$2)+前提・出典!$B$3*(1+前提・出典!$B$4)</f>
        <v/>
      </c>
    </row>
    <row r="38">
      <c r="A38">
        <f>基礎データ!A38</f>
        <v/>
      </c>
      <c r="B38" s="6">
        <f>基礎データ!E38*(1+前提・出典!$B$2)+前提・出典!$B$3*(1+前提・出典!$B$4)</f>
        <v/>
      </c>
      <c r="C38" s="6">
        <f>基礎データ!F38*(1+前提・出典!$B$2)+前提・出典!$B$3*(1+前提・出典!$B$4)</f>
        <v/>
      </c>
      <c r="D38" s="6">
        <f>基礎データ!G38*(1+前提・出典!$B$2)+前提・出典!$B$3*(1+前提・出典!$B$4)</f>
        <v/>
      </c>
      <c r="E38" s="6">
        <f>基礎データ!H38*(1+前提・出典!$B$2)+前提・出典!$B$3*(1+前提・出典!$B$4)</f>
        <v/>
      </c>
      <c r="F38" s="6">
        <f>基礎データ!I38*(1+前提・出典!$B$2)+前提・出典!$B$3*(1+前提・出典!$B$4)</f>
        <v/>
      </c>
      <c r="G38" s="6">
        <f>基礎データ!J38*(1+前提・出典!$B$2)+前提・出典!$B$3*(1+前提・出典!$B$4)</f>
        <v/>
      </c>
      <c r="H38" s="6">
        <f>基礎データ!K38*(1+前提・出典!$B$2)+前提・出典!$B$3*(1+前提・出典!$B$4)</f>
        <v/>
      </c>
      <c r="I38" s="6">
        <f>基礎データ!L38*(1+前提・出典!$B$2)+前提・出典!$B$3*(1+前提・出典!$B$4)</f>
        <v/>
      </c>
      <c r="J38" s="6">
        <f>基礎データ!M38*(1+前提・出典!$B$2)+前提・出典!$B$3*(1+前提・出典!$B$4)</f>
        <v/>
      </c>
      <c r="K38" s="6">
        <f>基礎データ!N38*(1+前提・出典!$B$2)+前提・出典!$B$3*(1+前提・出典!$B$4)</f>
        <v/>
      </c>
      <c r="L38" s="6">
        <f>基礎データ!O38*(1+前提・出典!$B$2)+前提・出典!$B$3*(1+前提・出典!$B$4)</f>
        <v/>
      </c>
      <c r="M38" s="6">
        <f>基礎データ!P38*(1+前提・出典!$B$2)+前提・出典!$B$3*(1+前提・出典!$B$4)</f>
        <v/>
      </c>
      <c r="N38" s="6">
        <f>基礎データ!Q38*(1+前提・出典!$B$2)+前提・出典!$B$3*(1+前提・出典!$B$4)</f>
        <v/>
      </c>
      <c r="O38" s="6">
        <f>基礎データ!R38*(1+前提・出典!$B$2)+前提・出典!$B$3*(1+前提・出典!$B$4)</f>
        <v/>
      </c>
      <c r="P38" s="6">
        <f>基礎データ!S38*(1+前提・出典!$B$2)+前提・出典!$B$3*(1+前提・出典!$B$4)</f>
        <v/>
      </c>
      <c r="Q38" s="6">
        <f>基礎データ!T38*(1+前提・出典!$B$2)+前提・出典!$B$3*(1+前提・出典!$B$4)</f>
        <v/>
      </c>
      <c r="R38" s="6">
        <f>基礎データ!U38*(1+前提・出典!$B$2)+前提・出典!$B$3*(1+前提・出典!$B$4)</f>
        <v/>
      </c>
      <c r="S38" s="6">
        <f>基礎データ!V38*(1+前提・出典!$B$2)+前提・出典!$B$3*(1+前提・出典!$B$4)</f>
        <v/>
      </c>
      <c r="T38" s="6">
        <f>基礎データ!W38*(1+前提・出典!$B$2)+前提・出典!$B$3*(1+前提・出典!$B$4)</f>
        <v/>
      </c>
      <c r="U38" s="6">
        <f>基礎データ!X38*(1+前提・出典!$B$2)+前提・出典!$B$3*(1+前提・出典!$B$4)</f>
        <v/>
      </c>
      <c r="V38" s="6">
        <f>基礎データ!Y38*(1+前提・出典!$B$2)+前提・出典!$B$3*(1+前提・出典!$B$4)</f>
        <v/>
      </c>
      <c r="W38" s="6">
        <f>基礎データ!Z38*(1+前提・出典!$B$2)+前提・出典!$B$3*(1+前提・出典!$B$4)</f>
        <v/>
      </c>
      <c r="X38" s="6">
        <f>基礎データ!AA38*(1+前提・出典!$B$2)+前提・出典!$B$3*(1+前提・出典!$B$4)</f>
        <v/>
      </c>
      <c r="Y38" s="6">
        <f>基礎データ!AB38*(1+前提・出典!$B$2)+前提・出典!$B$3*(1+前提・出典!$B$4)</f>
        <v/>
      </c>
      <c r="Z38" s="6">
        <f>基礎データ!AC38*(1+前提・出典!$B$2)+前提・出典!$B$3*(1+前提・出典!$B$4)</f>
        <v/>
      </c>
      <c r="AA38" s="6">
        <f>基礎データ!AD38*(1+前提・出典!$B$2)+前提・出典!$B$3*(1+前提・出典!$B$4)</f>
        <v/>
      </c>
      <c r="AB38" s="6">
        <f>基礎データ!AE38*(1+前提・出典!$B$2)+前提・出典!$B$3*(1+前提・出典!$B$4)</f>
        <v/>
      </c>
    </row>
    <row r="39">
      <c r="A39">
        <f>基礎データ!A39</f>
        <v/>
      </c>
      <c r="B39" s="6">
        <f>基礎データ!E39*(1+前提・出典!$B$2)+前提・出典!$B$3*(1+前提・出典!$B$4)</f>
        <v/>
      </c>
      <c r="C39" s="6">
        <f>基礎データ!F39*(1+前提・出典!$B$2)+前提・出典!$B$3*(1+前提・出典!$B$4)</f>
        <v/>
      </c>
      <c r="D39" s="6">
        <f>基礎データ!G39*(1+前提・出典!$B$2)+前提・出典!$B$3*(1+前提・出典!$B$4)</f>
        <v/>
      </c>
      <c r="E39" s="6">
        <f>基礎データ!H39*(1+前提・出典!$B$2)+前提・出典!$B$3*(1+前提・出典!$B$4)</f>
        <v/>
      </c>
      <c r="F39" s="6">
        <f>基礎データ!I39*(1+前提・出典!$B$2)+前提・出典!$B$3*(1+前提・出典!$B$4)</f>
        <v/>
      </c>
      <c r="G39" s="6">
        <f>基礎データ!J39*(1+前提・出典!$B$2)+前提・出典!$B$3*(1+前提・出典!$B$4)</f>
        <v/>
      </c>
      <c r="H39" s="6">
        <f>基礎データ!K39*(1+前提・出典!$B$2)+前提・出典!$B$3*(1+前提・出典!$B$4)</f>
        <v/>
      </c>
      <c r="I39" s="6">
        <f>基礎データ!L39*(1+前提・出典!$B$2)+前提・出典!$B$3*(1+前提・出典!$B$4)</f>
        <v/>
      </c>
      <c r="J39" s="6">
        <f>基礎データ!M39*(1+前提・出典!$B$2)+前提・出典!$B$3*(1+前提・出典!$B$4)</f>
        <v/>
      </c>
      <c r="K39" s="6">
        <f>基礎データ!N39*(1+前提・出典!$B$2)+前提・出典!$B$3*(1+前提・出典!$B$4)</f>
        <v/>
      </c>
      <c r="L39" s="6">
        <f>基礎データ!O39*(1+前提・出典!$B$2)+前提・出典!$B$3*(1+前提・出典!$B$4)</f>
        <v/>
      </c>
      <c r="M39" s="6">
        <f>基礎データ!P39*(1+前提・出典!$B$2)+前提・出典!$B$3*(1+前提・出典!$B$4)</f>
        <v/>
      </c>
      <c r="N39" s="6">
        <f>基礎データ!Q39*(1+前提・出典!$B$2)+前提・出典!$B$3*(1+前提・出典!$B$4)</f>
        <v/>
      </c>
      <c r="O39" s="6">
        <f>基礎データ!R39*(1+前提・出典!$B$2)+前提・出典!$B$3*(1+前提・出典!$B$4)</f>
        <v/>
      </c>
      <c r="P39" s="6">
        <f>基礎データ!S39*(1+前提・出典!$B$2)+前提・出典!$B$3*(1+前提・出典!$B$4)</f>
        <v/>
      </c>
      <c r="Q39" s="6">
        <f>基礎データ!T39*(1+前提・出典!$B$2)+前提・出典!$B$3*(1+前提・出典!$B$4)</f>
        <v/>
      </c>
      <c r="R39" s="6">
        <f>基礎データ!U39*(1+前提・出典!$B$2)+前提・出典!$B$3*(1+前提・出典!$B$4)</f>
        <v/>
      </c>
      <c r="S39" s="6">
        <f>基礎データ!V39*(1+前提・出典!$B$2)+前提・出典!$B$3*(1+前提・出典!$B$4)</f>
        <v/>
      </c>
      <c r="T39" s="6">
        <f>基礎データ!W39*(1+前提・出典!$B$2)+前提・出典!$B$3*(1+前提・出典!$B$4)</f>
        <v/>
      </c>
      <c r="U39" s="6">
        <f>基礎データ!X39*(1+前提・出典!$B$2)+前提・出典!$B$3*(1+前提・出典!$B$4)</f>
        <v/>
      </c>
      <c r="V39" s="6">
        <f>基礎データ!Y39*(1+前提・出典!$B$2)+前提・出典!$B$3*(1+前提・出典!$B$4)</f>
        <v/>
      </c>
      <c r="W39" s="6">
        <f>基礎データ!Z39*(1+前提・出典!$B$2)+前提・出典!$B$3*(1+前提・出典!$B$4)</f>
        <v/>
      </c>
      <c r="X39" s="6">
        <f>基礎データ!AA39*(1+前提・出典!$B$2)+前提・出典!$B$3*(1+前提・出典!$B$4)</f>
        <v/>
      </c>
      <c r="Y39" s="6">
        <f>基礎データ!AB39*(1+前提・出典!$B$2)+前提・出典!$B$3*(1+前提・出典!$B$4)</f>
        <v/>
      </c>
      <c r="Z39" s="6">
        <f>基礎データ!AC39*(1+前提・出典!$B$2)+前提・出典!$B$3*(1+前提・出典!$B$4)</f>
        <v/>
      </c>
      <c r="AA39" s="6">
        <f>基礎データ!AD39*(1+前提・出典!$B$2)+前提・出典!$B$3*(1+前提・出典!$B$4)</f>
        <v/>
      </c>
      <c r="AB39" s="6">
        <f>基礎データ!AE39*(1+前提・出典!$B$2)+前提・出典!$B$3*(1+前提・出典!$B$4)</f>
        <v/>
      </c>
    </row>
    <row r="40">
      <c r="A40">
        <f>基礎データ!A40</f>
        <v/>
      </c>
      <c r="B40" s="6">
        <f>基礎データ!E40*(1+前提・出典!$B$2)+前提・出典!$B$3*(1+前提・出典!$B$4)</f>
        <v/>
      </c>
      <c r="C40" s="6">
        <f>基礎データ!F40*(1+前提・出典!$B$2)+前提・出典!$B$3*(1+前提・出典!$B$4)</f>
        <v/>
      </c>
      <c r="D40" s="6">
        <f>基礎データ!G40*(1+前提・出典!$B$2)+前提・出典!$B$3*(1+前提・出典!$B$4)</f>
        <v/>
      </c>
      <c r="E40" s="6">
        <f>基礎データ!H40*(1+前提・出典!$B$2)+前提・出典!$B$3*(1+前提・出典!$B$4)</f>
        <v/>
      </c>
      <c r="F40" s="6">
        <f>基礎データ!I40*(1+前提・出典!$B$2)+前提・出典!$B$3*(1+前提・出典!$B$4)</f>
        <v/>
      </c>
      <c r="G40" s="6">
        <f>基礎データ!J40*(1+前提・出典!$B$2)+前提・出典!$B$3*(1+前提・出典!$B$4)</f>
        <v/>
      </c>
      <c r="H40" s="6">
        <f>基礎データ!K40*(1+前提・出典!$B$2)+前提・出典!$B$3*(1+前提・出典!$B$4)</f>
        <v/>
      </c>
      <c r="I40" s="6">
        <f>基礎データ!L40*(1+前提・出典!$B$2)+前提・出典!$B$3*(1+前提・出典!$B$4)</f>
        <v/>
      </c>
      <c r="J40" s="6">
        <f>基礎データ!M40*(1+前提・出典!$B$2)+前提・出典!$B$3*(1+前提・出典!$B$4)</f>
        <v/>
      </c>
      <c r="K40" s="6">
        <f>基礎データ!N40*(1+前提・出典!$B$2)+前提・出典!$B$3*(1+前提・出典!$B$4)</f>
        <v/>
      </c>
      <c r="L40" s="6">
        <f>基礎データ!O40*(1+前提・出典!$B$2)+前提・出典!$B$3*(1+前提・出典!$B$4)</f>
        <v/>
      </c>
      <c r="M40" s="6">
        <f>基礎データ!P40*(1+前提・出典!$B$2)+前提・出典!$B$3*(1+前提・出典!$B$4)</f>
        <v/>
      </c>
      <c r="N40" s="6">
        <f>基礎データ!Q40*(1+前提・出典!$B$2)+前提・出典!$B$3*(1+前提・出典!$B$4)</f>
        <v/>
      </c>
      <c r="O40" s="6">
        <f>基礎データ!R40*(1+前提・出典!$B$2)+前提・出典!$B$3*(1+前提・出典!$B$4)</f>
        <v/>
      </c>
      <c r="P40" s="6">
        <f>基礎データ!S40*(1+前提・出典!$B$2)+前提・出典!$B$3*(1+前提・出典!$B$4)</f>
        <v/>
      </c>
      <c r="Q40" s="6">
        <f>基礎データ!T40*(1+前提・出典!$B$2)+前提・出典!$B$3*(1+前提・出典!$B$4)</f>
        <v/>
      </c>
      <c r="R40" s="6">
        <f>基礎データ!U40*(1+前提・出典!$B$2)+前提・出典!$B$3*(1+前提・出典!$B$4)</f>
        <v/>
      </c>
      <c r="S40" s="6">
        <f>基礎データ!V40*(1+前提・出典!$B$2)+前提・出典!$B$3*(1+前提・出典!$B$4)</f>
        <v/>
      </c>
      <c r="T40" s="6">
        <f>基礎データ!W40*(1+前提・出典!$B$2)+前提・出典!$B$3*(1+前提・出典!$B$4)</f>
        <v/>
      </c>
      <c r="U40" s="6">
        <f>基礎データ!X40*(1+前提・出典!$B$2)+前提・出典!$B$3*(1+前提・出典!$B$4)</f>
        <v/>
      </c>
      <c r="V40" s="6">
        <f>基礎データ!Y40*(1+前提・出典!$B$2)+前提・出典!$B$3*(1+前提・出典!$B$4)</f>
        <v/>
      </c>
      <c r="W40" s="6">
        <f>基礎データ!Z40*(1+前提・出典!$B$2)+前提・出典!$B$3*(1+前提・出典!$B$4)</f>
        <v/>
      </c>
      <c r="X40" s="6">
        <f>基礎データ!AA40*(1+前提・出典!$B$2)+前提・出典!$B$3*(1+前提・出典!$B$4)</f>
        <v/>
      </c>
      <c r="Y40" s="6">
        <f>基礎データ!AB40*(1+前提・出典!$B$2)+前提・出典!$B$3*(1+前提・出典!$B$4)</f>
        <v/>
      </c>
      <c r="Z40" s="6">
        <f>基礎データ!AC40*(1+前提・出典!$B$2)+前提・出典!$B$3*(1+前提・出典!$B$4)</f>
        <v/>
      </c>
      <c r="AA40" s="6">
        <f>基礎データ!AD40*(1+前提・出典!$B$2)+前提・出典!$B$3*(1+前提・出典!$B$4)</f>
        <v/>
      </c>
      <c r="AB40" s="6">
        <f>基礎データ!AE40*(1+前提・出典!$B$2)+前提・出典!$B$3*(1+前提・出典!$B$4)</f>
        <v/>
      </c>
    </row>
    <row r="41">
      <c r="A41">
        <f>基礎データ!A41</f>
        <v/>
      </c>
      <c r="B41" s="6">
        <f>基礎データ!E41*(1+前提・出典!$B$2)+前提・出典!$B$3*(1+前提・出典!$B$4)</f>
        <v/>
      </c>
      <c r="C41" s="6">
        <f>基礎データ!F41*(1+前提・出典!$B$2)+前提・出典!$B$3*(1+前提・出典!$B$4)</f>
        <v/>
      </c>
      <c r="D41" s="6">
        <f>基礎データ!G41*(1+前提・出典!$B$2)+前提・出典!$B$3*(1+前提・出典!$B$4)</f>
        <v/>
      </c>
      <c r="E41" s="6">
        <f>基礎データ!H41*(1+前提・出典!$B$2)+前提・出典!$B$3*(1+前提・出典!$B$4)</f>
        <v/>
      </c>
      <c r="F41" s="6">
        <f>基礎データ!I41*(1+前提・出典!$B$2)+前提・出典!$B$3*(1+前提・出典!$B$4)</f>
        <v/>
      </c>
      <c r="G41" s="6">
        <f>基礎データ!J41*(1+前提・出典!$B$2)+前提・出典!$B$3*(1+前提・出典!$B$4)</f>
        <v/>
      </c>
      <c r="H41" s="6">
        <f>基礎データ!K41*(1+前提・出典!$B$2)+前提・出典!$B$3*(1+前提・出典!$B$4)</f>
        <v/>
      </c>
      <c r="I41" s="6">
        <f>基礎データ!L41*(1+前提・出典!$B$2)+前提・出典!$B$3*(1+前提・出典!$B$4)</f>
        <v/>
      </c>
      <c r="J41" s="6">
        <f>基礎データ!M41*(1+前提・出典!$B$2)+前提・出典!$B$3*(1+前提・出典!$B$4)</f>
        <v/>
      </c>
      <c r="K41" s="6">
        <f>基礎データ!N41*(1+前提・出典!$B$2)+前提・出典!$B$3*(1+前提・出典!$B$4)</f>
        <v/>
      </c>
      <c r="L41" s="6">
        <f>基礎データ!O41*(1+前提・出典!$B$2)+前提・出典!$B$3*(1+前提・出典!$B$4)</f>
        <v/>
      </c>
      <c r="M41" s="6">
        <f>基礎データ!P41*(1+前提・出典!$B$2)+前提・出典!$B$3*(1+前提・出典!$B$4)</f>
        <v/>
      </c>
      <c r="N41" s="6">
        <f>基礎データ!Q41*(1+前提・出典!$B$2)+前提・出典!$B$3*(1+前提・出典!$B$4)</f>
        <v/>
      </c>
      <c r="O41" s="6">
        <f>基礎データ!R41*(1+前提・出典!$B$2)+前提・出典!$B$3*(1+前提・出典!$B$4)</f>
        <v/>
      </c>
      <c r="P41" s="6">
        <f>基礎データ!S41*(1+前提・出典!$B$2)+前提・出典!$B$3*(1+前提・出典!$B$4)</f>
        <v/>
      </c>
      <c r="Q41" s="6">
        <f>基礎データ!T41*(1+前提・出典!$B$2)+前提・出典!$B$3*(1+前提・出典!$B$4)</f>
        <v/>
      </c>
      <c r="R41" s="6">
        <f>基礎データ!U41*(1+前提・出典!$B$2)+前提・出典!$B$3*(1+前提・出典!$B$4)</f>
        <v/>
      </c>
      <c r="S41" s="6">
        <f>基礎データ!V41*(1+前提・出典!$B$2)+前提・出典!$B$3*(1+前提・出典!$B$4)</f>
        <v/>
      </c>
      <c r="T41" s="6">
        <f>基礎データ!W41*(1+前提・出典!$B$2)+前提・出典!$B$3*(1+前提・出典!$B$4)</f>
        <v/>
      </c>
      <c r="U41" s="6">
        <f>基礎データ!X41*(1+前提・出典!$B$2)+前提・出典!$B$3*(1+前提・出典!$B$4)</f>
        <v/>
      </c>
      <c r="V41" s="6">
        <f>基礎データ!Y41*(1+前提・出典!$B$2)+前提・出典!$B$3*(1+前提・出典!$B$4)</f>
        <v/>
      </c>
      <c r="W41" s="6">
        <f>基礎データ!Z41*(1+前提・出典!$B$2)+前提・出典!$B$3*(1+前提・出典!$B$4)</f>
        <v/>
      </c>
      <c r="X41" s="6">
        <f>基礎データ!AA41*(1+前提・出典!$B$2)+前提・出典!$B$3*(1+前提・出典!$B$4)</f>
        <v/>
      </c>
      <c r="Y41" s="6">
        <f>基礎データ!AB41*(1+前提・出典!$B$2)+前提・出典!$B$3*(1+前提・出典!$B$4)</f>
        <v/>
      </c>
      <c r="Z41" s="6">
        <f>基礎データ!AC41*(1+前提・出典!$B$2)+前提・出典!$B$3*(1+前提・出典!$B$4)</f>
        <v/>
      </c>
      <c r="AA41" s="6">
        <f>基礎データ!AD41*(1+前提・出典!$B$2)+前提・出典!$B$3*(1+前提・出典!$B$4)</f>
        <v/>
      </c>
      <c r="AB41" s="6">
        <f>基礎データ!AE41*(1+前提・出典!$B$2)+前提・出典!$B$3*(1+前提・出典!$B$4)</f>
        <v/>
      </c>
    </row>
    <row r="42">
      <c r="A42">
        <f>基礎データ!A42</f>
        <v/>
      </c>
      <c r="B42" s="6">
        <f>基礎データ!E42*(1+前提・出典!$B$2)+前提・出典!$B$3*(1+前提・出典!$B$4)</f>
        <v/>
      </c>
      <c r="C42" s="6">
        <f>基礎データ!F42*(1+前提・出典!$B$2)+前提・出典!$B$3*(1+前提・出典!$B$4)</f>
        <v/>
      </c>
      <c r="D42" s="6">
        <f>基礎データ!G42*(1+前提・出典!$B$2)+前提・出典!$B$3*(1+前提・出典!$B$4)</f>
        <v/>
      </c>
      <c r="E42" s="6">
        <f>基礎データ!H42*(1+前提・出典!$B$2)+前提・出典!$B$3*(1+前提・出典!$B$4)</f>
        <v/>
      </c>
      <c r="F42" s="6">
        <f>基礎データ!I42*(1+前提・出典!$B$2)+前提・出典!$B$3*(1+前提・出典!$B$4)</f>
        <v/>
      </c>
      <c r="G42" s="6">
        <f>基礎データ!J42*(1+前提・出典!$B$2)+前提・出典!$B$3*(1+前提・出典!$B$4)</f>
        <v/>
      </c>
      <c r="H42" s="6">
        <f>基礎データ!K42*(1+前提・出典!$B$2)+前提・出典!$B$3*(1+前提・出典!$B$4)</f>
        <v/>
      </c>
      <c r="I42" s="6">
        <f>基礎データ!L42*(1+前提・出典!$B$2)+前提・出典!$B$3*(1+前提・出典!$B$4)</f>
        <v/>
      </c>
      <c r="J42" s="6">
        <f>基礎データ!M42*(1+前提・出典!$B$2)+前提・出典!$B$3*(1+前提・出典!$B$4)</f>
        <v/>
      </c>
      <c r="K42" s="6">
        <f>基礎データ!N42*(1+前提・出典!$B$2)+前提・出典!$B$3*(1+前提・出典!$B$4)</f>
        <v/>
      </c>
      <c r="L42" s="6">
        <f>基礎データ!O42*(1+前提・出典!$B$2)+前提・出典!$B$3*(1+前提・出典!$B$4)</f>
        <v/>
      </c>
      <c r="M42" s="6">
        <f>基礎データ!P42*(1+前提・出典!$B$2)+前提・出典!$B$3*(1+前提・出典!$B$4)</f>
        <v/>
      </c>
      <c r="N42" s="6">
        <f>基礎データ!Q42*(1+前提・出典!$B$2)+前提・出典!$B$3*(1+前提・出典!$B$4)</f>
        <v/>
      </c>
      <c r="O42" s="6">
        <f>基礎データ!R42*(1+前提・出典!$B$2)+前提・出典!$B$3*(1+前提・出典!$B$4)</f>
        <v/>
      </c>
      <c r="P42" s="6">
        <f>基礎データ!S42*(1+前提・出典!$B$2)+前提・出典!$B$3*(1+前提・出典!$B$4)</f>
        <v/>
      </c>
      <c r="Q42" s="6">
        <f>基礎データ!T42*(1+前提・出典!$B$2)+前提・出典!$B$3*(1+前提・出典!$B$4)</f>
        <v/>
      </c>
      <c r="R42" s="6">
        <f>基礎データ!U42*(1+前提・出典!$B$2)+前提・出典!$B$3*(1+前提・出典!$B$4)</f>
        <v/>
      </c>
      <c r="S42" s="6">
        <f>基礎データ!V42*(1+前提・出典!$B$2)+前提・出典!$B$3*(1+前提・出典!$B$4)</f>
        <v/>
      </c>
      <c r="T42" s="6">
        <f>基礎データ!W42*(1+前提・出典!$B$2)+前提・出典!$B$3*(1+前提・出典!$B$4)</f>
        <v/>
      </c>
      <c r="U42" s="6">
        <f>基礎データ!X42*(1+前提・出典!$B$2)+前提・出典!$B$3*(1+前提・出典!$B$4)</f>
        <v/>
      </c>
      <c r="V42" s="6">
        <f>基礎データ!Y42*(1+前提・出典!$B$2)+前提・出典!$B$3*(1+前提・出典!$B$4)</f>
        <v/>
      </c>
      <c r="W42" s="6">
        <f>基礎データ!Z42*(1+前提・出典!$B$2)+前提・出典!$B$3*(1+前提・出典!$B$4)</f>
        <v/>
      </c>
      <c r="X42" s="6">
        <f>基礎データ!AA42*(1+前提・出典!$B$2)+前提・出典!$B$3*(1+前提・出典!$B$4)</f>
        <v/>
      </c>
      <c r="Y42" s="6">
        <f>基礎データ!AB42*(1+前提・出典!$B$2)+前提・出典!$B$3*(1+前提・出典!$B$4)</f>
        <v/>
      </c>
      <c r="Z42" s="6">
        <f>基礎データ!AC42*(1+前提・出典!$B$2)+前提・出典!$B$3*(1+前提・出典!$B$4)</f>
        <v/>
      </c>
      <c r="AA42" s="6">
        <f>基礎データ!AD42*(1+前提・出典!$B$2)+前提・出典!$B$3*(1+前提・出典!$B$4)</f>
        <v/>
      </c>
      <c r="AB42" s="6">
        <f>基礎データ!AE42*(1+前提・出典!$B$2)+前提・出典!$B$3*(1+前提・出典!$B$4)</f>
        <v/>
      </c>
    </row>
    <row r="43">
      <c r="A43">
        <f>基礎データ!A43</f>
        <v/>
      </c>
      <c r="B43" s="6">
        <f>基礎データ!E43*(1+前提・出典!$B$2)+前提・出典!$B$3*(1+前提・出典!$B$4)</f>
        <v/>
      </c>
      <c r="C43" s="6">
        <f>基礎データ!F43*(1+前提・出典!$B$2)+前提・出典!$B$3*(1+前提・出典!$B$4)</f>
        <v/>
      </c>
      <c r="D43" s="6">
        <f>基礎データ!G43*(1+前提・出典!$B$2)+前提・出典!$B$3*(1+前提・出典!$B$4)</f>
        <v/>
      </c>
      <c r="E43" s="6">
        <f>基礎データ!H43*(1+前提・出典!$B$2)+前提・出典!$B$3*(1+前提・出典!$B$4)</f>
        <v/>
      </c>
      <c r="F43" s="6">
        <f>基礎データ!I43*(1+前提・出典!$B$2)+前提・出典!$B$3*(1+前提・出典!$B$4)</f>
        <v/>
      </c>
      <c r="G43" s="6">
        <f>基礎データ!J43*(1+前提・出典!$B$2)+前提・出典!$B$3*(1+前提・出典!$B$4)</f>
        <v/>
      </c>
      <c r="H43" s="6">
        <f>基礎データ!K43*(1+前提・出典!$B$2)+前提・出典!$B$3*(1+前提・出典!$B$4)</f>
        <v/>
      </c>
      <c r="I43" s="6">
        <f>基礎データ!L43*(1+前提・出典!$B$2)+前提・出典!$B$3*(1+前提・出典!$B$4)</f>
        <v/>
      </c>
      <c r="J43" s="6">
        <f>基礎データ!M43*(1+前提・出典!$B$2)+前提・出典!$B$3*(1+前提・出典!$B$4)</f>
        <v/>
      </c>
      <c r="K43" s="6">
        <f>基礎データ!N43*(1+前提・出典!$B$2)+前提・出典!$B$3*(1+前提・出典!$B$4)</f>
        <v/>
      </c>
      <c r="L43" s="6">
        <f>基礎データ!O43*(1+前提・出典!$B$2)+前提・出典!$B$3*(1+前提・出典!$B$4)</f>
        <v/>
      </c>
      <c r="M43" s="6">
        <f>基礎データ!P43*(1+前提・出典!$B$2)+前提・出典!$B$3*(1+前提・出典!$B$4)</f>
        <v/>
      </c>
      <c r="N43" s="6">
        <f>基礎データ!Q43*(1+前提・出典!$B$2)+前提・出典!$B$3*(1+前提・出典!$B$4)</f>
        <v/>
      </c>
      <c r="O43" s="6">
        <f>基礎データ!R43*(1+前提・出典!$B$2)+前提・出典!$B$3*(1+前提・出典!$B$4)</f>
        <v/>
      </c>
      <c r="P43" s="6">
        <f>基礎データ!S43*(1+前提・出典!$B$2)+前提・出典!$B$3*(1+前提・出典!$B$4)</f>
        <v/>
      </c>
      <c r="Q43" s="6">
        <f>基礎データ!T43*(1+前提・出典!$B$2)+前提・出典!$B$3*(1+前提・出典!$B$4)</f>
        <v/>
      </c>
      <c r="R43" s="6">
        <f>基礎データ!U43*(1+前提・出典!$B$2)+前提・出典!$B$3*(1+前提・出典!$B$4)</f>
        <v/>
      </c>
      <c r="S43" s="6">
        <f>基礎データ!V43*(1+前提・出典!$B$2)+前提・出典!$B$3*(1+前提・出典!$B$4)</f>
        <v/>
      </c>
      <c r="T43" s="6">
        <f>基礎データ!W43*(1+前提・出典!$B$2)+前提・出典!$B$3*(1+前提・出典!$B$4)</f>
        <v/>
      </c>
      <c r="U43" s="6">
        <f>基礎データ!X43*(1+前提・出典!$B$2)+前提・出典!$B$3*(1+前提・出典!$B$4)</f>
        <v/>
      </c>
      <c r="V43" s="6">
        <f>基礎データ!Y43*(1+前提・出典!$B$2)+前提・出典!$B$3*(1+前提・出典!$B$4)</f>
        <v/>
      </c>
      <c r="W43" s="6">
        <f>基礎データ!Z43*(1+前提・出典!$B$2)+前提・出典!$B$3*(1+前提・出典!$B$4)</f>
        <v/>
      </c>
      <c r="X43" s="6">
        <f>基礎データ!AA43*(1+前提・出典!$B$2)+前提・出典!$B$3*(1+前提・出典!$B$4)</f>
        <v/>
      </c>
      <c r="Y43" s="6">
        <f>基礎データ!AB43*(1+前提・出典!$B$2)+前提・出典!$B$3*(1+前提・出典!$B$4)</f>
        <v/>
      </c>
      <c r="Z43" s="6">
        <f>基礎データ!AC43*(1+前提・出典!$B$2)+前提・出典!$B$3*(1+前提・出典!$B$4)</f>
        <v/>
      </c>
      <c r="AA43" s="6">
        <f>基礎データ!AD43*(1+前提・出典!$B$2)+前提・出典!$B$3*(1+前提・出典!$B$4)</f>
        <v/>
      </c>
      <c r="AB43" s="6">
        <f>基礎データ!AE43*(1+前提・出典!$B$2)+前提・出典!$B$3*(1+前提・出典!$B$4)</f>
        <v/>
      </c>
    </row>
    <row r="44">
      <c r="A44">
        <f>基礎データ!A44</f>
        <v/>
      </c>
      <c r="B44" s="6">
        <f>基礎データ!E44*(1+前提・出典!$B$2)+前提・出典!$B$3*(1+前提・出典!$B$4)</f>
        <v/>
      </c>
      <c r="C44" s="6">
        <f>基礎データ!F44*(1+前提・出典!$B$2)+前提・出典!$B$3*(1+前提・出典!$B$4)</f>
        <v/>
      </c>
      <c r="D44" s="6">
        <f>基礎データ!G44*(1+前提・出典!$B$2)+前提・出典!$B$3*(1+前提・出典!$B$4)</f>
        <v/>
      </c>
      <c r="E44" s="6">
        <f>基礎データ!H44*(1+前提・出典!$B$2)+前提・出典!$B$3*(1+前提・出典!$B$4)</f>
        <v/>
      </c>
      <c r="F44" s="6">
        <f>基礎データ!I44*(1+前提・出典!$B$2)+前提・出典!$B$3*(1+前提・出典!$B$4)</f>
        <v/>
      </c>
      <c r="G44" s="6">
        <f>基礎データ!J44*(1+前提・出典!$B$2)+前提・出典!$B$3*(1+前提・出典!$B$4)</f>
        <v/>
      </c>
      <c r="H44" s="6">
        <f>基礎データ!K44*(1+前提・出典!$B$2)+前提・出典!$B$3*(1+前提・出典!$B$4)</f>
        <v/>
      </c>
      <c r="I44" s="6">
        <f>基礎データ!L44*(1+前提・出典!$B$2)+前提・出典!$B$3*(1+前提・出典!$B$4)</f>
        <v/>
      </c>
      <c r="J44" s="6">
        <f>基礎データ!M44*(1+前提・出典!$B$2)+前提・出典!$B$3*(1+前提・出典!$B$4)</f>
        <v/>
      </c>
      <c r="K44" s="6">
        <f>基礎データ!N44*(1+前提・出典!$B$2)+前提・出典!$B$3*(1+前提・出典!$B$4)</f>
        <v/>
      </c>
      <c r="L44" s="6">
        <f>基礎データ!O44*(1+前提・出典!$B$2)+前提・出典!$B$3*(1+前提・出典!$B$4)</f>
        <v/>
      </c>
      <c r="M44" s="6">
        <f>基礎データ!P44*(1+前提・出典!$B$2)+前提・出典!$B$3*(1+前提・出典!$B$4)</f>
        <v/>
      </c>
      <c r="N44" s="6">
        <f>基礎データ!Q44*(1+前提・出典!$B$2)+前提・出典!$B$3*(1+前提・出典!$B$4)</f>
        <v/>
      </c>
      <c r="O44" s="6">
        <f>基礎データ!R44*(1+前提・出典!$B$2)+前提・出典!$B$3*(1+前提・出典!$B$4)</f>
        <v/>
      </c>
      <c r="P44" s="6">
        <f>基礎データ!S44*(1+前提・出典!$B$2)+前提・出典!$B$3*(1+前提・出典!$B$4)</f>
        <v/>
      </c>
      <c r="Q44" s="6">
        <f>基礎データ!T44*(1+前提・出典!$B$2)+前提・出典!$B$3*(1+前提・出典!$B$4)</f>
        <v/>
      </c>
      <c r="R44" s="6">
        <f>基礎データ!U44*(1+前提・出典!$B$2)+前提・出典!$B$3*(1+前提・出典!$B$4)</f>
        <v/>
      </c>
      <c r="S44" s="6">
        <f>基礎データ!V44*(1+前提・出典!$B$2)+前提・出典!$B$3*(1+前提・出典!$B$4)</f>
        <v/>
      </c>
      <c r="T44" s="6">
        <f>基礎データ!W44*(1+前提・出典!$B$2)+前提・出典!$B$3*(1+前提・出典!$B$4)</f>
        <v/>
      </c>
      <c r="U44" s="6">
        <f>基礎データ!X44*(1+前提・出典!$B$2)+前提・出典!$B$3*(1+前提・出典!$B$4)</f>
        <v/>
      </c>
      <c r="V44" s="6">
        <f>基礎データ!Y44*(1+前提・出典!$B$2)+前提・出典!$B$3*(1+前提・出典!$B$4)</f>
        <v/>
      </c>
      <c r="W44" s="6">
        <f>基礎データ!Z44*(1+前提・出典!$B$2)+前提・出典!$B$3*(1+前提・出典!$B$4)</f>
        <v/>
      </c>
      <c r="X44" s="6">
        <f>基礎データ!AA44*(1+前提・出典!$B$2)+前提・出典!$B$3*(1+前提・出典!$B$4)</f>
        <v/>
      </c>
      <c r="Y44" s="6">
        <f>基礎データ!AB44*(1+前提・出典!$B$2)+前提・出典!$B$3*(1+前提・出典!$B$4)</f>
        <v/>
      </c>
      <c r="Z44" s="6">
        <f>基礎データ!AC44*(1+前提・出典!$B$2)+前提・出典!$B$3*(1+前提・出典!$B$4)</f>
        <v/>
      </c>
      <c r="AA44" s="6">
        <f>基礎データ!AD44*(1+前提・出典!$B$2)+前提・出典!$B$3*(1+前提・出典!$B$4)</f>
        <v/>
      </c>
      <c r="AB44" s="6">
        <f>基礎データ!AE44*(1+前提・出典!$B$2)+前提・出典!$B$3*(1+前提・出典!$B$4)</f>
        <v/>
      </c>
    </row>
    <row r="45">
      <c r="A45">
        <f>基礎データ!A45</f>
        <v/>
      </c>
      <c r="B45" s="6">
        <f>基礎データ!E45*(1+前提・出典!$B$2)+前提・出典!$B$3*(1+前提・出典!$B$4)</f>
        <v/>
      </c>
      <c r="C45" s="6">
        <f>基礎データ!F45*(1+前提・出典!$B$2)+前提・出典!$B$3*(1+前提・出典!$B$4)</f>
        <v/>
      </c>
      <c r="D45" s="6">
        <f>基礎データ!G45*(1+前提・出典!$B$2)+前提・出典!$B$3*(1+前提・出典!$B$4)</f>
        <v/>
      </c>
      <c r="E45" s="6">
        <f>基礎データ!H45*(1+前提・出典!$B$2)+前提・出典!$B$3*(1+前提・出典!$B$4)</f>
        <v/>
      </c>
      <c r="F45" s="6">
        <f>基礎データ!I45*(1+前提・出典!$B$2)+前提・出典!$B$3*(1+前提・出典!$B$4)</f>
        <v/>
      </c>
      <c r="G45" s="6">
        <f>基礎データ!J45*(1+前提・出典!$B$2)+前提・出典!$B$3*(1+前提・出典!$B$4)</f>
        <v/>
      </c>
      <c r="H45" s="6">
        <f>基礎データ!K45*(1+前提・出典!$B$2)+前提・出典!$B$3*(1+前提・出典!$B$4)</f>
        <v/>
      </c>
      <c r="I45" s="6">
        <f>基礎データ!L45*(1+前提・出典!$B$2)+前提・出典!$B$3*(1+前提・出典!$B$4)</f>
        <v/>
      </c>
      <c r="J45" s="6">
        <f>基礎データ!M45*(1+前提・出典!$B$2)+前提・出典!$B$3*(1+前提・出典!$B$4)</f>
        <v/>
      </c>
      <c r="K45" s="6">
        <f>基礎データ!N45*(1+前提・出典!$B$2)+前提・出典!$B$3*(1+前提・出典!$B$4)</f>
        <v/>
      </c>
      <c r="L45" s="6">
        <f>基礎データ!O45*(1+前提・出典!$B$2)+前提・出典!$B$3*(1+前提・出典!$B$4)</f>
        <v/>
      </c>
      <c r="M45" s="6">
        <f>基礎データ!P45*(1+前提・出典!$B$2)+前提・出典!$B$3*(1+前提・出典!$B$4)</f>
        <v/>
      </c>
      <c r="N45" s="6">
        <f>基礎データ!Q45*(1+前提・出典!$B$2)+前提・出典!$B$3*(1+前提・出典!$B$4)</f>
        <v/>
      </c>
      <c r="O45" s="6">
        <f>基礎データ!R45*(1+前提・出典!$B$2)+前提・出典!$B$3*(1+前提・出典!$B$4)</f>
        <v/>
      </c>
      <c r="P45" s="6">
        <f>基礎データ!S45*(1+前提・出典!$B$2)+前提・出典!$B$3*(1+前提・出典!$B$4)</f>
        <v/>
      </c>
      <c r="Q45" s="6">
        <f>基礎データ!T45*(1+前提・出典!$B$2)+前提・出典!$B$3*(1+前提・出典!$B$4)</f>
        <v/>
      </c>
      <c r="R45" s="6">
        <f>基礎データ!U45*(1+前提・出典!$B$2)+前提・出典!$B$3*(1+前提・出典!$B$4)</f>
        <v/>
      </c>
      <c r="S45" s="6">
        <f>基礎データ!V45*(1+前提・出典!$B$2)+前提・出典!$B$3*(1+前提・出典!$B$4)</f>
        <v/>
      </c>
      <c r="T45" s="6">
        <f>基礎データ!W45*(1+前提・出典!$B$2)+前提・出典!$B$3*(1+前提・出典!$B$4)</f>
        <v/>
      </c>
      <c r="U45" s="6">
        <f>基礎データ!X45*(1+前提・出典!$B$2)+前提・出典!$B$3*(1+前提・出典!$B$4)</f>
        <v/>
      </c>
      <c r="V45" s="6">
        <f>基礎データ!Y45*(1+前提・出典!$B$2)+前提・出典!$B$3*(1+前提・出典!$B$4)</f>
        <v/>
      </c>
      <c r="W45" s="6">
        <f>基礎データ!Z45*(1+前提・出典!$B$2)+前提・出典!$B$3*(1+前提・出典!$B$4)</f>
        <v/>
      </c>
      <c r="X45" s="6">
        <f>基礎データ!AA45*(1+前提・出典!$B$2)+前提・出典!$B$3*(1+前提・出典!$B$4)</f>
        <v/>
      </c>
      <c r="Y45" s="6">
        <f>基礎データ!AB45*(1+前提・出典!$B$2)+前提・出典!$B$3*(1+前提・出典!$B$4)</f>
        <v/>
      </c>
      <c r="Z45" s="6">
        <f>基礎データ!AC45*(1+前提・出典!$B$2)+前提・出典!$B$3*(1+前提・出典!$B$4)</f>
        <v/>
      </c>
      <c r="AA45" s="6">
        <f>基礎データ!AD45*(1+前提・出典!$B$2)+前提・出典!$B$3*(1+前提・出典!$B$4)</f>
        <v/>
      </c>
      <c r="AB45" s="6">
        <f>基礎データ!AE45*(1+前提・出典!$B$2)+前提・出典!$B$3*(1+前提・出典!$B$4)</f>
        <v/>
      </c>
    </row>
    <row r="46">
      <c r="A46">
        <f>基礎データ!A46</f>
        <v/>
      </c>
      <c r="B46" s="6">
        <f>基礎データ!E46*(1+前提・出典!$B$2)+前提・出典!$B$3*(1+前提・出典!$B$4)</f>
        <v/>
      </c>
      <c r="C46" s="6">
        <f>基礎データ!F46*(1+前提・出典!$B$2)+前提・出典!$B$3*(1+前提・出典!$B$4)</f>
        <v/>
      </c>
      <c r="D46" s="6">
        <f>基礎データ!G46*(1+前提・出典!$B$2)+前提・出典!$B$3*(1+前提・出典!$B$4)</f>
        <v/>
      </c>
      <c r="E46" s="6">
        <f>基礎データ!H46*(1+前提・出典!$B$2)+前提・出典!$B$3*(1+前提・出典!$B$4)</f>
        <v/>
      </c>
      <c r="F46" s="6">
        <f>基礎データ!I46*(1+前提・出典!$B$2)+前提・出典!$B$3*(1+前提・出典!$B$4)</f>
        <v/>
      </c>
      <c r="G46" s="6">
        <f>基礎データ!J46*(1+前提・出典!$B$2)+前提・出典!$B$3*(1+前提・出典!$B$4)</f>
        <v/>
      </c>
      <c r="H46" s="6">
        <f>基礎データ!K46*(1+前提・出典!$B$2)+前提・出典!$B$3*(1+前提・出典!$B$4)</f>
        <v/>
      </c>
      <c r="I46" s="6">
        <f>基礎データ!L46*(1+前提・出典!$B$2)+前提・出典!$B$3*(1+前提・出典!$B$4)</f>
        <v/>
      </c>
      <c r="J46" s="6">
        <f>基礎データ!M46*(1+前提・出典!$B$2)+前提・出典!$B$3*(1+前提・出典!$B$4)</f>
        <v/>
      </c>
      <c r="K46" s="6">
        <f>基礎データ!N46*(1+前提・出典!$B$2)+前提・出典!$B$3*(1+前提・出典!$B$4)</f>
        <v/>
      </c>
      <c r="L46" s="6">
        <f>基礎データ!O46*(1+前提・出典!$B$2)+前提・出典!$B$3*(1+前提・出典!$B$4)</f>
        <v/>
      </c>
      <c r="M46" s="6">
        <f>基礎データ!P46*(1+前提・出典!$B$2)+前提・出典!$B$3*(1+前提・出典!$B$4)</f>
        <v/>
      </c>
      <c r="N46" s="6">
        <f>基礎データ!Q46*(1+前提・出典!$B$2)+前提・出典!$B$3*(1+前提・出典!$B$4)</f>
        <v/>
      </c>
      <c r="O46" s="6">
        <f>基礎データ!R46*(1+前提・出典!$B$2)+前提・出典!$B$3*(1+前提・出典!$B$4)</f>
        <v/>
      </c>
      <c r="P46" s="6">
        <f>基礎データ!S46*(1+前提・出典!$B$2)+前提・出典!$B$3*(1+前提・出典!$B$4)</f>
        <v/>
      </c>
      <c r="Q46" s="6">
        <f>基礎データ!T46*(1+前提・出典!$B$2)+前提・出典!$B$3*(1+前提・出典!$B$4)</f>
        <v/>
      </c>
      <c r="R46" s="6">
        <f>基礎データ!U46*(1+前提・出典!$B$2)+前提・出典!$B$3*(1+前提・出典!$B$4)</f>
        <v/>
      </c>
      <c r="S46" s="6">
        <f>基礎データ!V46*(1+前提・出典!$B$2)+前提・出典!$B$3*(1+前提・出典!$B$4)</f>
        <v/>
      </c>
      <c r="T46" s="6">
        <f>基礎データ!W46*(1+前提・出典!$B$2)+前提・出典!$B$3*(1+前提・出典!$B$4)</f>
        <v/>
      </c>
      <c r="U46" s="6">
        <f>基礎データ!X46*(1+前提・出典!$B$2)+前提・出典!$B$3*(1+前提・出典!$B$4)</f>
        <v/>
      </c>
      <c r="V46" s="6">
        <f>基礎データ!Y46*(1+前提・出典!$B$2)+前提・出典!$B$3*(1+前提・出典!$B$4)</f>
        <v/>
      </c>
      <c r="W46" s="6">
        <f>基礎データ!Z46*(1+前提・出典!$B$2)+前提・出典!$B$3*(1+前提・出典!$B$4)</f>
        <v/>
      </c>
      <c r="X46" s="6">
        <f>基礎データ!AA46*(1+前提・出典!$B$2)+前提・出典!$B$3*(1+前提・出典!$B$4)</f>
        <v/>
      </c>
      <c r="Y46" s="6">
        <f>基礎データ!AB46*(1+前提・出典!$B$2)+前提・出典!$B$3*(1+前提・出典!$B$4)</f>
        <v/>
      </c>
      <c r="Z46" s="6">
        <f>基礎データ!AC46*(1+前提・出典!$B$2)+前提・出典!$B$3*(1+前提・出典!$B$4)</f>
        <v/>
      </c>
      <c r="AA46" s="6">
        <f>基礎データ!AD46*(1+前提・出典!$B$2)+前提・出典!$B$3*(1+前提・出典!$B$4)</f>
        <v/>
      </c>
      <c r="AB46" s="6">
        <f>基礎データ!AE46*(1+前提・出典!$B$2)+前提・出典!$B$3*(1+前提・出典!$B$4)</f>
        <v/>
      </c>
    </row>
    <row r="47">
      <c r="A47">
        <f>基礎データ!A47</f>
        <v/>
      </c>
      <c r="B47" s="6">
        <f>基礎データ!E47*(1+前提・出典!$B$2)+前提・出典!$B$3*(1+前提・出典!$B$4)</f>
        <v/>
      </c>
      <c r="C47" s="6">
        <f>基礎データ!F47*(1+前提・出典!$B$2)+前提・出典!$B$3*(1+前提・出典!$B$4)</f>
        <v/>
      </c>
      <c r="D47" s="6">
        <f>基礎データ!G47*(1+前提・出典!$B$2)+前提・出典!$B$3*(1+前提・出典!$B$4)</f>
        <v/>
      </c>
      <c r="E47" s="6">
        <f>基礎データ!H47*(1+前提・出典!$B$2)+前提・出典!$B$3*(1+前提・出典!$B$4)</f>
        <v/>
      </c>
      <c r="F47" s="6">
        <f>基礎データ!I47*(1+前提・出典!$B$2)+前提・出典!$B$3*(1+前提・出典!$B$4)</f>
        <v/>
      </c>
      <c r="G47" s="6">
        <f>基礎データ!J47*(1+前提・出典!$B$2)+前提・出典!$B$3*(1+前提・出典!$B$4)</f>
        <v/>
      </c>
      <c r="H47" s="6">
        <f>基礎データ!K47*(1+前提・出典!$B$2)+前提・出典!$B$3*(1+前提・出典!$B$4)</f>
        <v/>
      </c>
      <c r="I47" s="6">
        <f>基礎データ!L47*(1+前提・出典!$B$2)+前提・出典!$B$3*(1+前提・出典!$B$4)</f>
        <v/>
      </c>
      <c r="J47" s="6">
        <f>基礎データ!M47*(1+前提・出典!$B$2)+前提・出典!$B$3*(1+前提・出典!$B$4)</f>
        <v/>
      </c>
      <c r="K47" s="6">
        <f>基礎データ!N47*(1+前提・出典!$B$2)+前提・出典!$B$3*(1+前提・出典!$B$4)</f>
        <v/>
      </c>
      <c r="L47" s="6">
        <f>基礎データ!O47*(1+前提・出典!$B$2)+前提・出典!$B$3*(1+前提・出典!$B$4)</f>
        <v/>
      </c>
      <c r="M47" s="6">
        <f>基礎データ!P47*(1+前提・出典!$B$2)+前提・出典!$B$3*(1+前提・出典!$B$4)</f>
        <v/>
      </c>
      <c r="N47" s="6">
        <f>基礎データ!Q47*(1+前提・出典!$B$2)+前提・出典!$B$3*(1+前提・出典!$B$4)</f>
        <v/>
      </c>
      <c r="O47" s="6">
        <f>基礎データ!R47*(1+前提・出典!$B$2)+前提・出典!$B$3*(1+前提・出典!$B$4)</f>
        <v/>
      </c>
      <c r="P47" s="6">
        <f>基礎データ!S47*(1+前提・出典!$B$2)+前提・出典!$B$3*(1+前提・出典!$B$4)</f>
        <v/>
      </c>
      <c r="Q47" s="6">
        <f>基礎データ!T47*(1+前提・出典!$B$2)+前提・出典!$B$3*(1+前提・出典!$B$4)</f>
        <v/>
      </c>
      <c r="R47" s="6">
        <f>基礎データ!U47*(1+前提・出典!$B$2)+前提・出典!$B$3*(1+前提・出典!$B$4)</f>
        <v/>
      </c>
      <c r="S47" s="6">
        <f>基礎データ!V47*(1+前提・出典!$B$2)+前提・出典!$B$3*(1+前提・出典!$B$4)</f>
        <v/>
      </c>
      <c r="T47" s="6">
        <f>基礎データ!W47*(1+前提・出典!$B$2)+前提・出典!$B$3*(1+前提・出典!$B$4)</f>
        <v/>
      </c>
      <c r="U47" s="6">
        <f>基礎データ!X47*(1+前提・出典!$B$2)+前提・出典!$B$3*(1+前提・出典!$B$4)</f>
        <v/>
      </c>
      <c r="V47" s="6">
        <f>基礎データ!Y47*(1+前提・出典!$B$2)+前提・出典!$B$3*(1+前提・出典!$B$4)</f>
        <v/>
      </c>
      <c r="W47" s="6">
        <f>基礎データ!Z47*(1+前提・出典!$B$2)+前提・出典!$B$3*(1+前提・出典!$B$4)</f>
        <v/>
      </c>
      <c r="X47" s="6">
        <f>基礎データ!AA47*(1+前提・出典!$B$2)+前提・出典!$B$3*(1+前提・出典!$B$4)</f>
        <v/>
      </c>
      <c r="Y47" s="6">
        <f>基礎データ!AB47*(1+前提・出典!$B$2)+前提・出典!$B$3*(1+前提・出典!$B$4)</f>
        <v/>
      </c>
      <c r="Z47" s="6">
        <f>基礎データ!AC47*(1+前提・出典!$B$2)+前提・出典!$B$3*(1+前提・出典!$B$4)</f>
        <v/>
      </c>
      <c r="AA47" s="6">
        <f>基礎データ!AD47*(1+前提・出典!$B$2)+前提・出典!$B$3*(1+前提・出典!$B$4)</f>
        <v/>
      </c>
      <c r="AB47" s="6">
        <f>基礎データ!AE47*(1+前提・出典!$B$2)+前提・出典!$B$3*(1+前提・出典!$B$4)</f>
        <v/>
      </c>
    </row>
    <row r="48">
      <c r="A48">
        <f>基礎データ!A48</f>
        <v/>
      </c>
      <c r="B48" s="6">
        <f>基礎データ!E48*(1+前提・出典!$B$2)+前提・出典!$B$3*(1+前提・出典!$B$4)</f>
        <v/>
      </c>
      <c r="C48" s="6">
        <f>基礎データ!F48*(1+前提・出典!$B$2)+前提・出典!$B$3*(1+前提・出典!$B$4)</f>
        <v/>
      </c>
      <c r="D48" s="6">
        <f>基礎データ!G48*(1+前提・出典!$B$2)+前提・出典!$B$3*(1+前提・出典!$B$4)</f>
        <v/>
      </c>
      <c r="E48" s="6">
        <f>基礎データ!H48*(1+前提・出典!$B$2)+前提・出典!$B$3*(1+前提・出典!$B$4)</f>
        <v/>
      </c>
      <c r="F48" s="6">
        <f>基礎データ!I48*(1+前提・出典!$B$2)+前提・出典!$B$3*(1+前提・出典!$B$4)</f>
        <v/>
      </c>
      <c r="G48" s="6">
        <f>基礎データ!J48*(1+前提・出典!$B$2)+前提・出典!$B$3*(1+前提・出典!$B$4)</f>
        <v/>
      </c>
      <c r="H48" s="6">
        <f>基礎データ!K48*(1+前提・出典!$B$2)+前提・出典!$B$3*(1+前提・出典!$B$4)</f>
        <v/>
      </c>
      <c r="I48" s="6">
        <f>基礎データ!L48*(1+前提・出典!$B$2)+前提・出典!$B$3*(1+前提・出典!$B$4)</f>
        <v/>
      </c>
      <c r="J48" s="6">
        <f>基礎データ!M48*(1+前提・出典!$B$2)+前提・出典!$B$3*(1+前提・出典!$B$4)</f>
        <v/>
      </c>
      <c r="K48" s="6">
        <f>基礎データ!N48*(1+前提・出典!$B$2)+前提・出典!$B$3*(1+前提・出典!$B$4)</f>
        <v/>
      </c>
      <c r="L48" s="6">
        <f>基礎データ!O48*(1+前提・出典!$B$2)+前提・出典!$B$3*(1+前提・出典!$B$4)</f>
        <v/>
      </c>
      <c r="M48" s="6">
        <f>基礎データ!P48*(1+前提・出典!$B$2)+前提・出典!$B$3*(1+前提・出典!$B$4)</f>
        <v/>
      </c>
      <c r="N48" s="6">
        <f>基礎データ!Q48*(1+前提・出典!$B$2)+前提・出典!$B$3*(1+前提・出典!$B$4)</f>
        <v/>
      </c>
      <c r="O48" s="6">
        <f>基礎データ!R48*(1+前提・出典!$B$2)+前提・出典!$B$3*(1+前提・出典!$B$4)</f>
        <v/>
      </c>
      <c r="P48" s="6">
        <f>基礎データ!S48*(1+前提・出典!$B$2)+前提・出典!$B$3*(1+前提・出典!$B$4)</f>
        <v/>
      </c>
      <c r="Q48" s="6">
        <f>基礎データ!T48*(1+前提・出典!$B$2)+前提・出典!$B$3*(1+前提・出典!$B$4)</f>
        <v/>
      </c>
      <c r="R48" s="6">
        <f>基礎データ!U48*(1+前提・出典!$B$2)+前提・出典!$B$3*(1+前提・出典!$B$4)</f>
        <v/>
      </c>
      <c r="S48" s="6">
        <f>基礎データ!V48*(1+前提・出典!$B$2)+前提・出典!$B$3*(1+前提・出典!$B$4)</f>
        <v/>
      </c>
      <c r="T48" s="6">
        <f>基礎データ!W48*(1+前提・出典!$B$2)+前提・出典!$B$3*(1+前提・出典!$B$4)</f>
        <v/>
      </c>
      <c r="U48" s="6">
        <f>基礎データ!X48*(1+前提・出典!$B$2)+前提・出典!$B$3*(1+前提・出典!$B$4)</f>
        <v/>
      </c>
      <c r="V48" s="6">
        <f>基礎データ!Y48*(1+前提・出典!$B$2)+前提・出典!$B$3*(1+前提・出典!$B$4)</f>
        <v/>
      </c>
      <c r="W48" s="6">
        <f>基礎データ!Z48*(1+前提・出典!$B$2)+前提・出典!$B$3*(1+前提・出典!$B$4)</f>
        <v/>
      </c>
      <c r="X48" s="6">
        <f>基礎データ!AA48*(1+前提・出典!$B$2)+前提・出典!$B$3*(1+前提・出典!$B$4)</f>
        <v/>
      </c>
      <c r="Y48" s="6">
        <f>基礎データ!AB48*(1+前提・出典!$B$2)+前提・出典!$B$3*(1+前提・出典!$B$4)</f>
        <v/>
      </c>
      <c r="Z48" s="6">
        <f>基礎データ!AC48*(1+前提・出典!$B$2)+前提・出典!$B$3*(1+前提・出典!$B$4)</f>
        <v/>
      </c>
      <c r="AA48" s="6">
        <f>基礎データ!AD48*(1+前提・出典!$B$2)+前提・出典!$B$3*(1+前提・出典!$B$4)</f>
        <v/>
      </c>
      <c r="AB48" s="6">
        <f>基礎データ!AE48*(1+前提・出典!$B$2)+前提・出典!$B$3*(1+前提・出典!$B$4)</f>
        <v/>
      </c>
    </row>
    <row r="49">
      <c r="A49">
        <f>基礎データ!A49</f>
        <v/>
      </c>
      <c r="B49" s="6">
        <f>基礎データ!E49*(1+前提・出典!$B$2)+前提・出典!$B$3*(1+前提・出典!$B$4)</f>
        <v/>
      </c>
      <c r="C49" s="6">
        <f>基礎データ!F49*(1+前提・出典!$B$2)+前提・出典!$B$3*(1+前提・出典!$B$4)</f>
        <v/>
      </c>
      <c r="D49" s="6">
        <f>基礎データ!G49*(1+前提・出典!$B$2)+前提・出典!$B$3*(1+前提・出典!$B$4)</f>
        <v/>
      </c>
      <c r="E49" s="6">
        <f>基礎データ!H49*(1+前提・出典!$B$2)+前提・出典!$B$3*(1+前提・出典!$B$4)</f>
        <v/>
      </c>
      <c r="F49" s="6">
        <f>基礎データ!I49*(1+前提・出典!$B$2)+前提・出典!$B$3*(1+前提・出典!$B$4)</f>
        <v/>
      </c>
      <c r="G49" s="6">
        <f>基礎データ!J49*(1+前提・出典!$B$2)+前提・出典!$B$3*(1+前提・出典!$B$4)</f>
        <v/>
      </c>
      <c r="H49" s="6">
        <f>基礎データ!K49*(1+前提・出典!$B$2)+前提・出典!$B$3*(1+前提・出典!$B$4)</f>
        <v/>
      </c>
      <c r="I49" s="6">
        <f>基礎データ!L49*(1+前提・出典!$B$2)+前提・出典!$B$3*(1+前提・出典!$B$4)</f>
        <v/>
      </c>
      <c r="J49" s="6">
        <f>基礎データ!M49*(1+前提・出典!$B$2)+前提・出典!$B$3*(1+前提・出典!$B$4)</f>
        <v/>
      </c>
      <c r="K49" s="6">
        <f>基礎データ!N49*(1+前提・出典!$B$2)+前提・出典!$B$3*(1+前提・出典!$B$4)</f>
        <v/>
      </c>
      <c r="L49" s="6">
        <f>基礎データ!O49*(1+前提・出典!$B$2)+前提・出典!$B$3*(1+前提・出典!$B$4)</f>
        <v/>
      </c>
      <c r="M49" s="6">
        <f>基礎データ!P49*(1+前提・出典!$B$2)+前提・出典!$B$3*(1+前提・出典!$B$4)</f>
        <v/>
      </c>
      <c r="N49" s="6">
        <f>基礎データ!Q49*(1+前提・出典!$B$2)+前提・出典!$B$3*(1+前提・出典!$B$4)</f>
        <v/>
      </c>
      <c r="O49" s="6">
        <f>基礎データ!R49*(1+前提・出典!$B$2)+前提・出典!$B$3*(1+前提・出典!$B$4)</f>
        <v/>
      </c>
      <c r="P49" s="6">
        <f>基礎データ!S49*(1+前提・出典!$B$2)+前提・出典!$B$3*(1+前提・出典!$B$4)</f>
        <v/>
      </c>
      <c r="Q49" s="6">
        <f>基礎データ!T49*(1+前提・出典!$B$2)+前提・出典!$B$3*(1+前提・出典!$B$4)</f>
        <v/>
      </c>
      <c r="R49" s="6">
        <f>基礎データ!U49*(1+前提・出典!$B$2)+前提・出典!$B$3*(1+前提・出典!$B$4)</f>
        <v/>
      </c>
      <c r="S49" s="6">
        <f>基礎データ!V49*(1+前提・出典!$B$2)+前提・出典!$B$3*(1+前提・出典!$B$4)</f>
        <v/>
      </c>
      <c r="T49" s="6">
        <f>基礎データ!W49*(1+前提・出典!$B$2)+前提・出典!$B$3*(1+前提・出典!$B$4)</f>
        <v/>
      </c>
      <c r="U49" s="6">
        <f>基礎データ!X49*(1+前提・出典!$B$2)+前提・出典!$B$3*(1+前提・出典!$B$4)</f>
        <v/>
      </c>
      <c r="V49" s="6">
        <f>基礎データ!Y49*(1+前提・出典!$B$2)+前提・出典!$B$3*(1+前提・出典!$B$4)</f>
        <v/>
      </c>
      <c r="W49" s="6">
        <f>基礎データ!Z49*(1+前提・出典!$B$2)+前提・出典!$B$3*(1+前提・出典!$B$4)</f>
        <v/>
      </c>
      <c r="X49" s="6">
        <f>基礎データ!AA49*(1+前提・出典!$B$2)+前提・出典!$B$3*(1+前提・出典!$B$4)</f>
        <v/>
      </c>
      <c r="Y49" s="6">
        <f>基礎データ!AB49*(1+前提・出典!$B$2)+前提・出典!$B$3*(1+前提・出典!$B$4)</f>
        <v/>
      </c>
      <c r="Z49" s="6">
        <f>基礎データ!AC49*(1+前提・出典!$B$2)+前提・出典!$B$3*(1+前提・出典!$B$4)</f>
        <v/>
      </c>
      <c r="AA49" s="6">
        <f>基礎データ!AD49*(1+前提・出典!$B$2)+前提・出典!$B$3*(1+前提・出典!$B$4)</f>
        <v/>
      </c>
      <c r="AB49" s="6">
        <f>基礎データ!AE49*(1+前提・出典!$B$2)+前提・出典!$B$3*(1+前提・出典!$B$4)</f>
        <v/>
      </c>
    </row>
    <row r="50">
      <c r="A50">
        <f>基礎データ!A50</f>
        <v/>
      </c>
      <c r="B50" s="6">
        <f>基礎データ!E50*(1+前提・出典!$B$2)+前提・出典!$B$3*(1+前提・出典!$B$4)</f>
        <v/>
      </c>
      <c r="C50" s="6">
        <f>基礎データ!F50*(1+前提・出典!$B$2)+前提・出典!$B$3*(1+前提・出典!$B$4)</f>
        <v/>
      </c>
      <c r="D50" s="6">
        <f>基礎データ!G50*(1+前提・出典!$B$2)+前提・出典!$B$3*(1+前提・出典!$B$4)</f>
        <v/>
      </c>
      <c r="E50" s="6">
        <f>基礎データ!H50*(1+前提・出典!$B$2)+前提・出典!$B$3*(1+前提・出典!$B$4)</f>
        <v/>
      </c>
      <c r="F50" s="6">
        <f>基礎データ!I50*(1+前提・出典!$B$2)+前提・出典!$B$3*(1+前提・出典!$B$4)</f>
        <v/>
      </c>
      <c r="G50" s="6">
        <f>基礎データ!J50*(1+前提・出典!$B$2)+前提・出典!$B$3*(1+前提・出典!$B$4)</f>
        <v/>
      </c>
      <c r="H50" s="6">
        <f>基礎データ!K50*(1+前提・出典!$B$2)+前提・出典!$B$3*(1+前提・出典!$B$4)</f>
        <v/>
      </c>
      <c r="I50" s="6">
        <f>基礎データ!L50*(1+前提・出典!$B$2)+前提・出典!$B$3*(1+前提・出典!$B$4)</f>
        <v/>
      </c>
      <c r="J50" s="6">
        <f>基礎データ!M50*(1+前提・出典!$B$2)+前提・出典!$B$3*(1+前提・出典!$B$4)</f>
        <v/>
      </c>
      <c r="K50" s="6">
        <f>基礎データ!N50*(1+前提・出典!$B$2)+前提・出典!$B$3*(1+前提・出典!$B$4)</f>
        <v/>
      </c>
      <c r="L50" s="6">
        <f>基礎データ!O50*(1+前提・出典!$B$2)+前提・出典!$B$3*(1+前提・出典!$B$4)</f>
        <v/>
      </c>
      <c r="M50" s="6">
        <f>基礎データ!P50*(1+前提・出典!$B$2)+前提・出典!$B$3*(1+前提・出典!$B$4)</f>
        <v/>
      </c>
      <c r="N50" s="6">
        <f>基礎データ!Q50*(1+前提・出典!$B$2)+前提・出典!$B$3*(1+前提・出典!$B$4)</f>
        <v/>
      </c>
      <c r="O50" s="6">
        <f>基礎データ!R50*(1+前提・出典!$B$2)+前提・出典!$B$3*(1+前提・出典!$B$4)</f>
        <v/>
      </c>
      <c r="P50" s="6">
        <f>基礎データ!S50*(1+前提・出典!$B$2)+前提・出典!$B$3*(1+前提・出典!$B$4)</f>
        <v/>
      </c>
      <c r="Q50" s="6">
        <f>基礎データ!T50*(1+前提・出典!$B$2)+前提・出典!$B$3*(1+前提・出典!$B$4)</f>
        <v/>
      </c>
      <c r="R50" s="6">
        <f>基礎データ!U50*(1+前提・出典!$B$2)+前提・出典!$B$3*(1+前提・出典!$B$4)</f>
        <v/>
      </c>
      <c r="S50" s="6">
        <f>基礎データ!V50*(1+前提・出典!$B$2)+前提・出典!$B$3*(1+前提・出典!$B$4)</f>
        <v/>
      </c>
      <c r="T50" s="6">
        <f>基礎データ!W50*(1+前提・出典!$B$2)+前提・出典!$B$3*(1+前提・出典!$B$4)</f>
        <v/>
      </c>
      <c r="U50" s="6">
        <f>基礎データ!X50*(1+前提・出典!$B$2)+前提・出典!$B$3*(1+前提・出典!$B$4)</f>
        <v/>
      </c>
      <c r="V50" s="6">
        <f>基礎データ!Y50*(1+前提・出典!$B$2)+前提・出典!$B$3*(1+前提・出典!$B$4)</f>
        <v/>
      </c>
      <c r="W50" s="6">
        <f>基礎データ!Z50*(1+前提・出典!$B$2)+前提・出典!$B$3*(1+前提・出典!$B$4)</f>
        <v/>
      </c>
      <c r="X50" s="6">
        <f>基礎データ!AA50*(1+前提・出典!$B$2)+前提・出典!$B$3*(1+前提・出典!$B$4)</f>
        <v/>
      </c>
      <c r="Y50" s="6">
        <f>基礎データ!AB50*(1+前提・出典!$B$2)+前提・出典!$B$3*(1+前提・出典!$B$4)</f>
        <v/>
      </c>
      <c r="Z50" s="6">
        <f>基礎データ!AC50*(1+前提・出典!$B$2)+前提・出典!$B$3*(1+前提・出典!$B$4)</f>
        <v/>
      </c>
      <c r="AA50" s="6">
        <f>基礎データ!AD50*(1+前提・出典!$B$2)+前提・出典!$B$3*(1+前提・出典!$B$4)</f>
        <v/>
      </c>
      <c r="AB50" s="6">
        <f>基礎データ!AE50*(1+前提・出典!$B$2)+前提・出典!$B$3*(1+前提・出典!$B$4)</f>
        <v/>
      </c>
    </row>
    <row r="51">
      <c r="A51">
        <f>基礎データ!A51</f>
        <v/>
      </c>
      <c r="B51" s="6">
        <f>基礎データ!E51*(1+前提・出典!$B$2)+前提・出典!$B$3*(1+前提・出典!$B$4)</f>
        <v/>
      </c>
      <c r="C51" s="6">
        <f>基礎データ!F51*(1+前提・出典!$B$2)+前提・出典!$B$3*(1+前提・出典!$B$4)</f>
        <v/>
      </c>
      <c r="D51" s="6">
        <f>基礎データ!G51*(1+前提・出典!$B$2)+前提・出典!$B$3*(1+前提・出典!$B$4)</f>
        <v/>
      </c>
      <c r="E51" s="6">
        <f>基礎データ!H51*(1+前提・出典!$B$2)+前提・出典!$B$3*(1+前提・出典!$B$4)</f>
        <v/>
      </c>
      <c r="F51" s="6">
        <f>基礎データ!I51*(1+前提・出典!$B$2)+前提・出典!$B$3*(1+前提・出典!$B$4)</f>
        <v/>
      </c>
      <c r="G51" s="6">
        <f>基礎データ!J51*(1+前提・出典!$B$2)+前提・出典!$B$3*(1+前提・出典!$B$4)</f>
        <v/>
      </c>
      <c r="H51" s="6">
        <f>基礎データ!K51*(1+前提・出典!$B$2)+前提・出典!$B$3*(1+前提・出典!$B$4)</f>
        <v/>
      </c>
      <c r="I51" s="6">
        <f>基礎データ!L51*(1+前提・出典!$B$2)+前提・出典!$B$3*(1+前提・出典!$B$4)</f>
        <v/>
      </c>
      <c r="J51" s="6">
        <f>基礎データ!M51*(1+前提・出典!$B$2)+前提・出典!$B$3*(1+前提・出典!$B$4)</f>
        <v/>
      </c>
      <c r="K51" s="6">
        <f>基礎データ!N51*(1+前提・出典!$B$2)+前提・出典!$B$3*(1+前提・出典!$B$4)</f>
        <v/>
      </c>
      <c r="L51" s="6">
        <f>基礎データ!O51*(1+前提・出典!$B$2)+前提・出典!$B$3*(1+前提・出典!$B$4)</f>
        <v/>
      </c>
      <c r="M51" s="6">
        <f>基礎データ!P51*(1+前提・出典!$B$2)+前提・出典!$B$3*(1+前提・出典!$B$4)</f>
        <v/>
      </c>
      <c r="N51" s="6">
        <f>基礎データ!Q51*(1+前提・出典!$B$2)+前提・出典!$B$3*(1+前提・出典!$B$4)</f>
        <v/>
      </c>
      <c r="O51" s="6">
        <f>基礎データ!R51*(1+前提・出典!$B$2)+前提・出典!$B$3*(1+前提・出典!$B$4)</f>
        <v/>
      </c>
      <c r="P51" s="6">
        <f>基礎データ!S51*(1+前提・出典!$B$2)+前提・出典!$B$3*(1+前提・出典!$B$4)</f>
        <v/>
      </c>
      <c r="Q51" s="6">
        <f>基礎データ!T51*(1+前提・出典!$B$2)+前提・出典!$B$3*(1+前提・出典!$B$4)</f>
        <v/>
      </c>
      <c r="R51" s="6">
        <f>基礎データ!U51*(1+前提・出典!$B$2)+前提・出典!$B$3*(1+前提・出典!$B$4)</f>
        <v/>
      </c>
      <c r="S51" s="6">
        <f>基礎データ!V51*(1+前提・出典!$B$2)+前提・出典!$B$3*(1+前提・出典!$B$4)</f>
        <v/>
      </c>
      <c r="T51" s="6">
        <f>基礎データ!W51*(1+前提・出典!$B$2)+前提・出典!$B$3*(1+前提・出典!$B$4)</f>
        <v/>
      </c>
      <c r="U51" s="6">
        <f>基礎データ!X51*(1+前提・出典!$B$2)+前提・出典!$B$3*(1+前提・出典!$B$4)</f>
        <v/>
      </c>
      <c r="V51" s="6">
        <f>基礎データ!Y51*(1+前提・出典!$B$2)+前提・出典!$B$3*(1+前提・出典!$B$4)</f>
        <v/>
      </c>
      <c r="W51" s="6">
        <f>基礎データ!Z51*(1+前提・出典!$B$2)+前提・出典!$B$3*(1+前提・出典!$B$4)</f>
        <v/>
      </c>
      <c r="X51" s="6">
        <f>基礎データ!AA51*(1+前提・出典!$B$2)+前提・出典!$B$3*(1+前提・出典!$B$4)</f>
        <v/>
      </c>
      <c r="Y51" s="6">
        <f>基礎データ!AB51*(1+前提・出典!$B$2)+前提・出典!$B$3*(1+前提・出典!$B$4)</f>
        <v/>
      </c>
      <c r="Z51" s="6">
        <f>基礎データ!AC51*(1+前提・出典!$B$2)+前提・出典!$B$3*(1+前提・出典!$B$4)</f>
        <v/>
      </c>
      <c r="AA51" s="6">
        <f>基礎データ!AD51*(1+前提・出典!$B$2)+前提・出典!$B$3*(1+前提・出典!$B$4)</f>
        <v/>
      </c>
      <c r="AB51" s="6">
        <f>基礎データ!AE51*(1+前提・出典!$B$2)+前提・出典!$B$3*(1+前提・出典!$B$4)</f>
        <v/>
      </c>
    </row>
    <row r="52">
      <c r="A52">
        <f>基礎データ!A52</f>
        <v/>
      </c>
      <c r="B52" s="6">
        <f>基礎データ!E52*(1+前提・出典!$B$2)+前提・出典!$B$3*(1+前提・出典!$B$4)</f>
        <v/>
      </c>
      <c r="C52" s="6">
        <f>基礎データ!F52*(1+前提・出典!$B$2)+前提・出典!$B$3*(1+前提・出典!$B$4)</f>
        <v/>
      </c>
      <c r="D52" s="6">
        <f>基礎データ!G52*(1+前提・出典!$B$2)+前提・出典!$B$3*(1+前提・出典!$B$4)</f>
        <v/>
      </c>
      <c r="E52" s="6">
        <f>基礎データ!H52*(1+前提・出典!$B$2)+前提・出典!$B$3*(1+前提・出典!$B$4)</f>
        <v/>
      </c>
      <c r="F52" s="6">
        <f>基礎データ!I52*(1+前提・出典!$B$2)+前提・出典!$B$3*(1+前提・出典!$B$4)</f>
        <v/>
      </c>
      <c r="G52" s="6">
        <f>基礎データ!J52*(1+前提・出典!$B$2)+前提・出典!$B$3*(1+前提・出典!$B$4)</f>
        <v/>
      </c>
      <c r="H52" s="6">
        <f>基礎データ!K52*(1+前提・出典!$B$2)+前提・出典!$B$3*(1+前提・出典!$B$4)</f>
        <v/>
      </c>
      <c r="I52" s="6">
        <f>基礎データ!L52*(1+前提・出典!$B$2)+前提・出典!$B$3*(1+前提・出典!$B$4)</f>
        <v/>
      </c>
      <c r="J52" s="6">
        <f>基礎データ!M52*(1+前提・出典!$B$2)+前提・出典!$B$3*(1+前提・出典!$B$4)</f>
        <v/>
      </c>
      <c r="K52" s="6">
        <f>基礎データ!N52*(1+前提・出典!$B$2)+前提・出典!$B$3*(1+前提・出典!$B$4)</f>
        <v/>
      </c>
      <c r="L52" s="6">
        <f>基礎データ!O52*(1+前提・出典!$B$2)+前提・出典!$B$3*(1+前提・出典!$B$4)</f>
        <v/>
      </c>
      <c r="M52" s="6">
        <f>基礎データ!P52*(1+前提・出典!$B$2)+前提・出典!$B$3*(1+前提・出典!$B$4)</f>
        <v/>
      </c>
      <c r="N52" s="6">
        <f>基礎データ!Q52*(1+前提・出典!$B$2)+前提・出典!$B$3*(1+前提・出典!$B$4)</f>
        <v/>
      </c>
      <c r="O52" s="6">
        <f>基礎データ!R52*(1+前提・出典!$B$2)+前提・出典!$B$3*(1+前提・出典!$B$4)</f>
        <v/>
      </c>
      <c r="P52" s="6">
        <f>基礎データ!S52*(1+前提・出典!$B$2)+前提・出典!$B$3*(1+前提・出典!$B$4)</f>
        <v/>
      </c>
      <c r="Q52" s="6">
        <f>基礎データ!T52*(1+前提・出典!$B$2)+前提・出典!$B$3*(1+前提・出典!$B$4)</f>
        <v/>
      </c>
      <c r="R52" s="6">
        <f>基礎データ!U52*(1+前提・出典!$B$2)+前提・出典!$B$3*(1+前提・出典!$B$4)</f>
        <v/>
      </c>
      <c r="S52" s="6">
        <f>基礎データ!V52*(1+前提・出典!$B$2)+前提・出典!$B$3*(1+前提・出典!$B$4)</f>
        <v/>
      </c>
      <c r="T52" s="6">
        <f>基礎データ!W52*(1+前提・出典!$B$2)+前提・出典!$B$3*(1+前提・出典!$B$4)</f>
        <v/>
      </c>
      <c r="U52" s="6">
        <f>基礎データ!X52*(1+前提・出典!$B$2)+前提・出典!$B$3*(1+前提・出典!$B$4)</f>
        <v/>
      </c>
      <c r="V52" s="6">
        <f>基礎データ!Y52*(1+前提・出典!$B$2)+前提・出典!$B$3*(1+前提・出典!$B$4)</f>
        <v/>
      </c>
      <c r="W52" s="6">
        <f>基礎データ!Z52*(1+前提・出典!$B$2)+前提・出典!$B$3*(1+前提・出典!$B$4)</f>
        <v/>
      </c>
      <c r="X52" s="6">
        <f>基礎データ!AA52*(1+前提・出典!$B$2)+前提・出典!$B$3*(1+前提・出典!$B$4)</f>
        <v/>
      </c>
      <c r="Y52" s="6">
        <f>基礎データ!AB52*(1+前提・出典!$B$2)+前提・出典!$B$3*(1+前提・出典!$B$4)</f>
        <v/>
      </c>
      <c r="Z52" s="6">
        <f>基礎データ!AC52*(1+前提・出典!$B$2)+前提・出典!$B$3*(1+前提・出典!$B$4)</f>
        <v/>
      </c>
      <c r="AA52" s="6">
        <f>基礎データ!AD52*(1+前提・出典!$B$2)+前提・出典!$B$3*(1+前提・出典!$B$4)</f>
        <v/>
      </c>
      <c r="AB52" s="6">
        <f>基礎データ!AE52*(1+前提・出典!$B$2)+前提・出典!$B$3*(1+前提・出典!$B$4)</f>
        <v/>
      </c>
    </row>
    <row r="53">
      <c r="A53">
        <f>基礎データ!A53</f>
        <v/>
      </c>
      <c r="B53" s="6">
        <f>基礎データ!E53*(1+前提・出典!$B$2)+前提・出典!$B$3*(1+前提・出典!$B$4)</f>
        <v/>
      </c>
      <c r="C53" s="6">
        <f>基礎データ!F53*(1+前提・出典!$B$2)+前提・出典!$B$3*(1+前提・出典!$B$4)</f>
        <v/>
      </c>
      <c r="D53" s="6">
        <f>基礎データ!G53*(1+前提・出典!$B$2)+前提・出典!$B$3*(1+前提・出典!$B$4)</f>
        <v/>
      </c>
      <c r="E53" s="6">
        <f>基礎データ!H53*(1+前提・出典!$B$2)+前提・出典!$B$3*(1+前提・出典!$B$4)</f>
        <v/>
      </c>
      <c r="F53" s="6">
        <f>基礎データ!I53*(1+前提・出典!$B$2)+前提・出典!$B$3*(1+前提・出典!$B$4)</f>
        <v/>
      </c>
      <c r="G53" s="6">
        <f>基礎データ!J53*(1+前提・出典!$B$2)+前提・出典!$B$3*(1+前提・出典!$B$4)</f>
        <v/>
      </c>
      <c r="H53" s="6">
        <f>基礎データ!K53*(1+前提・出典!$B$2)+前提・出典!$B$3*(1+前提・出典!$B$4)</f>
        <v/>
      </c>
      <c r="I53" s="6">
        <f>基礎データ!L53*(1+前提・出典!$B$2)+前提・出典!$B$3*(1+前提・出典!$B$4)</f>
        <v/>
      </c>
      <c r="J53" s="6">
        <f>基礎データ!M53*(1+前提・出典!$B$2)+前提・出典!$B$3*(1+前提・出典!$B$4)</f>
        <v/>
      </c>
      <c r="K53" s="6">
        <f>基礎データ!N53*(1+前提・出典!$B$2)+前提・出典!$B$3*(1+前提・出典!$B$4)</f>
        <v/>
      </c>
      <c r="L53" s="6">
        <f>基礎データ!O53*(1+前提・出典!$B$2)+前提・出典!$B$3*(1+前提・出典!$B$4)</f>
        <v/>
      </c>
      <c r="M53" s="6">
        <f>基礎データ!P53*(1+前提・出典!$B$2)+前提・出典!$B$3*(1+前提・出典!$B$4)</f>
        <v/>
      </c>
      <c r="N53" s="6">
        <f>基礎データ!Q53*(1+前提・出典!$B$2)+前提・出典!$B$3*(1+前提・出典!$B$4)</f>
        <v/>
      </c>
      <c r="O53" s="6">
        <f>基礎データ!R53*(1+前提・出典!$B$2)+前提・出典!$B$3*(1+前提・出典!$B$4)</f>
        <v/>
      </c>
      <c r="P53" s="6">
        <f>基礎データ!S53*(1+前提・出典!$B$2)+前提・出典!$B$3*(1+前提・出典!$B$4)</f>
        <v/>
      </c>
      <c r="Q53" s="6">
        <f>基礎データ!T53*(1+前提・出典!$B$2)+前提・出典!$B$3*(1+前提・出典!$B$4)</f>
        <v/>
      </c>
      <c r="R53" s="6">
        <f>基礎データ!U53*(1+前提・出典!$B$2)+前提・出典!$B$3*(1+前提・出典!$B$4)</f>
        <v/>
      </c>
      <c r="S53" s="6">
        <f>基礎データ!V53*(1+前提・出典!$B$2)+前提・出典!$B$3*(1+前提・出典!$B$4)</f>
        <v/>
      </c>
      <c r="T53" s="6">
        <f>基礎データ!W53*(1+前提・出典!$B$2)+前提・出典!$B$3*(1+前提・出典!$B$4)</f>
        <v/>
      </c>
      <c r="U53" s="6">
        <f>基礎データ!X53*(1+前提・出典!$B$2)+前提・出典!$B$3*(1+前提・出典!$B$4)</f>
        <v/>
      </c>
      <c r="V53" s="6">
        <f>基礎データ!Y53*(1+前提・出典!$B$2)+前提・出典!$B$3*(1+前提・出典!$B$4)</f>
        <v/>
      </c>
      <c r="W53" s="6">
        <f>基礎データ!Z53*(1+前提・出典!$B$2)+前提・出典!$B$3*(1+前提・出典!$B$4)</f>
        <v/>
      </c>
      <c r="X53" s="6">
        <f>基礎データ!AA53*(1+前提・出典!$B$2)+前提・出典!$B$3*(1+前提・出典!$B$4)</f>
        <v/>
      </c>
      <c r="Y53" s="6">
        <f>基礎データ!AB53*(1+前提・出典!$B$2)+前提・出典!$B$3*(1+前提・出典!$B$4)</f>
        <v/>
      </c>
      <c r="Z53" s="6">
        <f>基礎データ!AC53*(1+前提・出典!$B$2)+前提・出典!$B$3*(1+前提・出典!$B$4)</f>
        <v/>
      </c>
      <c r="AA53" s="6">
        <f>基礎データ!AD53*(1+前提・出典!$B$2)+前提・出典!$B$3*(1+前提・出典!$B$4)</f>
        <v/>
      </c>
      <c r="AB53" s="6">
        <f>基礎データ!AE53*(1+前提・出典!$B$2)+前提・出典!$B$3*(1+前提・出典!$B$4)</f>
        <v/>
      </c>
    </row>
    <row r="54">
      <c r="A54">
        <f>基礎データ!A54</f>
        <v/>
      </c>
      <c r="B54" s="6">
        <f>基礎データ!E54*(1+前提・出典!$B$2)+前提・出典!$B$3*(1+前提・出典!$B$4)</f>
        <v/>
      </c>
      <c r="C54" s="6">
        <f>基礎データ!F54*(1+前提・出典!$B$2)+前提・出典!$B$3*(1+前提・出典!$B$4)</f>
        <v/>
      </c>
      <c r="D54" s="6">
        <f>基礎データ!G54*(1+前提・出典!$B$2)+前提・出典!$B$3*(1+前提・出典!$B$4)</f>
        <v/>
      </c>
      <c r="E54" s="6">
        <f>基礎データ!H54*(1+前提・出典!$B$2)+前提・出典!$B$3*(1+前提・出典!$B$4)</f>
        <v/>
      </c>
      <c r="F54" s="6">
        <f>基礎データ!I54*(1+前提・出典!$B$2)+前提・出典!$B$3*(1+前提・出典!$B$4)</f>
        <v/>
      </c>
      <c r="G54" s="6">
        <f>基礎データ!J54*(1+前提・出典!$B$2)+前提・出典!$B$3*(1+前提・出典!$B$4)</f>
        <v/>
      </c>
      <c r="H54" s="6">
        <f>基礎データ!K54*(1+前提・出典!$B$2)+前提・出典!$B$3*(1+前提・出典!$B$4)</f>
        <v/>
      </c>
      <c r="I54" s="6">
        <f>基礎データ!L54*(1+前提・出典!$B$2)+前提・出典!$B$3*(1+前提・出典!$B$4)</f>
        <v/>
      </c>
      <c r="J54" s="6">
        <f>基礎データ!M54*(1+前提・出典!$B$2)+前提・出典!$B$3*(1+前提・出典!$B$4)</f>
        <v/>
      </c>
      <c r="K54" s="6">
        <f>基礎データ!N54*(1+前提・出典!$B$2)+前提・出典!$B$3*(1+前提・出典!$B$4)</f>
        <v/>
      </c>
      <c r="L54" s="6">
        <f>基礎データ!O54*(1+前提・出典!$B$2)+前提・出典!$B$3*(1+前提・出典!$B$4)</f>
        <v/>
      </c>
      <c r="M54" s="6">
        <f>基礎データ!P54*(1+前提・出典!$B$2)+前提・出典!$B$3*(1+前提・出典!$B$4)</f>
        <v/>
      </c>
      <c r="N54" s="6">
        <f>基礎データ!Q54*(1+前提・出典!$B$2)+前提・出典!$B$3*(1+前提・出典!$B$4)</f>
        <v/>
      </c>
      <c r="O54" s="6">
        <f>基礎データ!R54*(1+前提・出典!$B$2)+前提・出典!$B$3*(1+前提・出典!$B$4)</f>
        <v/>
      </c>
      <c r="P54" s="6">
        <f>基礎データ!S54*(1+前提・出典!$B$2)+前提・出典!$B$3*(1+前提・出典!$B$4)</f>
        <v/>
      </c>
      <c r="Q54" s="6">
        <f>基礎データ!T54*(1+前提・出典!$B$2)+前提・出典!$B$3*(1+前提・出典!$B$4)</f>
        <v/>
      </c>
      <c r="R54" s="6">
        <f>基礎データ!U54*(1+前提・出典!$B$2)+前提・出典!$B$3*(1+前提・出典!$B$4)</f>
        <v/>
      </c>
      <c r="S54" s="6">
        <f>基礎データ!V54*(1+前提・出典!$B$2)+前提・出典!$B$3*(1+前提・出典!$B$4)</f>
        <v/>
      </c>
      <c r="T54" s="6">
        <f>基礎データ!W54*(1+前提・出典!$B$2)+前提・出典!$B$3*(1+前提・出典!$B$4)</f>
        <v/>
      </c>
      <c r="U54" s="6">
        <f>基礎データ!X54*(1+前提・出典!$B$2)+前提・出典!$B$3*(1+前提・出典!$B$4)</f>
        <v/>
      </c>
      <c r="V54" s="6">
        <f>基礎データ!Y54*(1+前提・出典!$B$2)+前提・出典!$B$3*(1+前提・出典!$B$4)</f>
        <v/>
      </c>
      <c r="W54" s="6">
        <f>基礎データ!Z54*(1+前提・出典!$B$2)+前提・出典!$B$3*(1+前提・出典!$B$4)</f>
        <v/>
      </c>
      <c r="X54" s="6">
        <f>基礎データ!AA54*(1+前提・出典!$B$2)+前提・出典!$B$3*(1+前提・出典!$B$4)</f>
        <v/>
      </c>
      <c r="Y54" s="6">
        <f>基礎データ!AB54*(1+前提・出典!$B$2)+前提・出典!$B$3*(1+前提・出典!$B$4)</f>
        <v/>
      </c>
      <c r="Z54" s="6">
        <f>基礎データ!AC54*(1+前提・出典!$B$2)+前提・出典!$B$3*(1+前提・出典!$B$4)</f>
        <v/>
      </c>
      <c r="AA54" s="6">
        <f>基礎データ!AD54*(1+前提・出典!$B$2)+前提・出典!$B$3*(1+前提・出典!$B$4)</f>
        <v/>
      </c>
      <c r="AB54" s="6">
        <f>基礎データ!AE54*(1+前提・出典!$B$2)+前提・出典!$B$3*(1+前提・出典!$B$4)</f>
        <v/>
      </c>
    </row>
    <row r="55">
      <c r="A55">
        <f>基礎データ!A55</f>
        <v/>
      </c>
      <c r="B55" s="6">
        <f>基礎データ!E55*(1+前提・出典!$B$2)+前提・出典!$B$3*(1+前提・出典!$B$4)</f>
        <v/>
      </c>
      <c r="C55" s="6">
        <f>基礎データ!F55*(1+前提・出典!$B$2)+前提・出典!$B$3*(1+前提・出典!$B$4)</f>
        <v/>
      </c>
      <c r="D55" s="6">
        <f>基礎データ!G55*(1+前提・出典!$B$2)+前提・出典!$B$3*(1+前提・出典!$B$4)</f>
        <v/>
      </c>
      <c r="E55" s="6">
        <f>基礎データ!H55*(1+前提・出典!$B$2)+前提・出典!$B$3*(1+前提・出典!$B$4)</f>
        <v/>
      </c>
      <c r="F55" s="6">
        <f>基礎データ!I55*(1+前提・出典!$B$2)+前提・出典!$B$3*(1+前提・出典!$B$4)</f>
        <v/>
      </c>
      <c r="G55" s="6">
        <f>基礎データ!J55*(1+前提・出典!$B$2)+前提・出典!$B$3*(1+前提・出典!$B$4)</f>
        <v/>
      </c>
      <c r="H55" s="6">
        <f>基礎データ!K55*(1+前提・出典!$B$2)+前提・出典!$B$3*(1+前提・出典!$B$4)</f>
        <v/>
      </c>
      <c r="I55" s="6">
        <f>基礎データ!L55*(1+前提・出典!$B$2)+前提・出典!$B$3*(1+前提・出典!$B$4)</f>
        <v/>
      </c>
      <c r="J55" s="6">
        <f>基礎データ!M55*(1+前提・出典!$B$2)+前提・出典!$B$3*(1+前提・出典!$B$4)</f>
        <v/>
      </c>
      <c r="K55" s="6">
        <f>基礎データ!N55*(1+前提・出典!$B$2)+前提・出典!$B$3*(1+前提・出典!$B$4)</f>
        <v/>
      </c>
      <c r="L55" s="6">
        <f>基礎データ!O55*(1+前提・出典!$B$2)+前提・出典!$B$3*(1+前提・出典!$B$4)</f>
        <v/>
      </c>
      <c r="M55" s="6">
        <f>基礎データ!P55*(1+前提・出典!$B$2)+前提・出典!$B$3*(1+前提・出典!$B$4)</f>
        <v/>
      </c>
      <c r="N55" s="6">
        <f>基礎データ!Q55*(1+前提・出典!$B$2)+前提・出典!$B$3*(1+前提・出典!$B$4)</f>
        <v/>
      </c>
      <c r="O55" s="6">
        <f>基礎データ!R55*(1+前提・出典!$B$2)+前提・出典!$B$3*(1+前提・出典!$B$4)</f>
        <v/>
      </c>
      <c r="P55" s="6">
        <f>基礎データ!S55*(1+前提・出典!$B$2)+前提・出典!$B$3*(1+前提・出典!$B$4)</f>
        <v/>
      </c>
      <c r="Q55" s="6">
        <f>基礎データ!T55*(1+前提・出典!$B$2)+前提・出典!$B$3*(1+前提・出典!$B$4)</f>
        <v/>
      </c>
      <c r="R55" s="6">
        <f>基礎データ!U55*(1+前提・出典!$B$2)+前提・出典!$B$3*(1+前提・出典!$B$4)</f>
        <v/>
      </c>
      <c r="S55" s="6">
        <f>基礎データ!V55*(1+前提・出典!$B$2)+前提・出典!$B$3*(1+前提・出典!$B$4)</f>
        <v/>
      </c>
      <c r="T55" s="6">
        <f>基礎データ!W55*(1+前提・出典!$B$2)+前提・出典!$B$3*(1+前提・出典!$B$4)</f>
        <v/>
      </c>
      <c r="U55" s="6">
        <f>基礎データ!X55*(1+前提・出典!$B$2)+前提・出典!$B$3*(1+前提・出典!$B$4)</f>
        <v/>
      </c>
      <c r="V55" s="6">
        <f>基礎データ!Y55*(1+前提・出典!$B$2)+前提・出典!$B$3*(1+前提・出典!$B$4)</f>
        <v/>
      </c>
      <c r="W55" s="6">
        <f>基礎データ!Z55*(1+前提・出典!$B$2)+前提・出典!$B$3*(1+前提・出典!$B$4)</f>
        <v/>
      </c>
      <c r="X55" s="6">
        <f>基礎データ!AA55*(1+前提・出典!$B$2)+前提・出典!$B$3*(1+前提・出典!$B$4)</f>
        <v/>
      </c>
      <c r="Y55" s="6">
        <f>基礎データ!AB55*(1+前提・出典!$B$2)+前提・出典!$B$3*(1+前提・出典!$B$4)</f>
        <v/>
      </c>
      <c r="Z55" s="6">
        <f>基礎データ!AC55*(1+前提・出典!$B$2)+前提・出典!$B$3*(1+前提・出典!$B$4)</f>
        <v/>
      </c>
      <c r="AA55" s="6">
        <f>基礎データ!AD55*(1+前提・出典!$B$2)+前提・出典!$B$3*(1+前提・出典!$B$4)</f>
        <v/>
      </c>
      <c r="AB55" s="6">
        <f>基礎データ!AE55*(1+前提・出典!$B$2)+前提・出典!$B$3*(1+前提・出典!$B$4)</f>
        <v/>
      </c>
    </row>
    <row r="56">
      <c r="A56">
        <f>基礎データ!A56</f>
        <v/>
      </c>
      <c r="B56" s="6">
        <f>基礎データ!E56*(1+前提・出典!$B$2)+前提・出典!$B$3*(1+前提・出典!$B$4)</f>
        <v/>
      </c>
      <c r="C56" s="6">
        <f>基礎データ!F56*(1+前提・出典!$B$2)+前提・出典!$B$3*(1+前提・出典!$B$4)</f>
        <v/>
      </c>
      <c r="D56" s="6">
        <f>基礎データ!G56*(1+前提・出典!$B$2)+前提・出典!$B$3*(1+前提・出典!$B$4)</f>
        <v/>
      </c>
      <c r="E56" s="6">
        <f>基礎データ!H56*(1+前提・出典!$B$2)+前提・出典!$B$3*(1+前提・出典!$B$4)</f>
        <v/>
      </c>
      <c r="F56" s="6">
        <f>基礎データ!I56*(1+前提・出典!$B$2)+前提・出典!$B$3*(1+前提・出典!$B$4)</f>
        <v/>
      </c>
      <c r="G56" s="6">
        <f>基礎データ!J56*(1+前提・出典!$B$2)+前提・出典!$B$3*(1+前提・出典!$B$4)</f>
        <v/>
      </c>
      <c r="H56" s="6">
        <f>基礎データ!K56*(1+前提・出典!$B$2)+前提・出典!$B$3*(1+前提・出典!$B$4)</f>
        <v/>
      </c>
      <c r="I56" s="6">
        <f>基礎データ!L56*(1+前提・出典!$B$2)+前提・出典!$B$3*(1+前提・出典!$B$4)</f>
        <v/>
      </c>
      <c r="J56" s="6">
        <f>基礎データ!M56*(1+前提・出典!$B$2)+前提・出典!$B$3*(1+前提・出典!$B$4)</f>
        <v/>
      </c>
      <c r="K56" s="6">
        <f>基礎データ!N56*(1+前提・出典!$B$2)+前提・出典!$B$3*(1+前提・出典!$B$4)</f>
        <v/>
      </c>
      <c r="L56" s="6">
        <f>基礎データ!O56*(1+前提・出典!$B$2)+前提・出典!$B$3*(1+前提・出典!$B$4)</f>
        <v/>
      </c>
      <c r="M56" s="6">
        <f>基礎データ!P56*(1+前提・出典!$B$2)+前提・出典!$B$3*(1+前提・出典!$B$4)</f>
        <v/>
      </c>
      <c r="N56" s="6">
        <f>基礎データ!Q56*(1+前提・出典!$B$2)+前提・出典!$B$3*(1+前提・出典!$B$4)</f>
        <v/>
      </c>
      <c r="O56" s="6">
        <f>基礎データ!R56*(1+前提・出典!$B$2)+前提・出典!$B$3*(1+前提・出典!$B$4)</f>
        <v/>
      </c>
      <c r="P56" s="6">
        <f>基礎データ!S56*(1+前提・出典!$B$2)+前提・出典!$B$3*(1+前提・出典!$B$4)</f>
        <v/>
      </c>
      <c r="Q56" s="6">
        <f>基礎データ!T56*(1+前提・出典!$B$2)+前提・出典!$B$3*(1+前提・出典!$B$4)</f>
        <v/>
      </c>
      <c r="R56" s="6">
        <f>基礎データ!U56*(1+前提・出典!$B$2)+前提・出典!$B$3*(1+前提・出典!$B$4)</f>
        <v/>
      </c>
      <c r="S56" s="6">
        <f>基礎データ!V56*(1+前提・出典!$B$2)+前提・出典!$B$3*(1+前提・出典!$B$4)</f>
        <v/>
      </c>
      <c r="T56" s="6">
        <f>基礎データ!W56*(1+前提・出典!$B$2)+前提・出典!$B$3*(1+前提・出典!$B$4)</f>
        <v/>
      </c>
      <c r="U56" s="6">
        <f>基礎データ!X56*(1+前提・出典!$B$2)+前提・出典!$B$3*(1+前提・出典!$B$4)</f>
        <v/>
      </c>
      <c r="V56" s="6">
        <f>基礎データ!Y56*(1+前提・出典!$B$2)+前提・出典!$B$3*(1+前提・出典!$B$4)</f>
        <v/>
      </c>
      <c r="W56" s="6">
        <f>基礎データ!Z56*(1+前提・出典!$B$2)+前提・出典!$B$3*(1+前提・出典!$B$4)</f>
        <v/>
      </c>
      <c r="X56" s="6">
        <f>基礎データ!AA56*(1+前提・出典!$B$2)+前提・出典!$B$3*(1+前提・出典!$B$4)</f>
        <v/>
      </c>
      <c r="Y56" s="6">
        <f>基礎データ!AB56*(1+前提・出典!$B$2)+前提・出典!$B$3*(1+前提・出典!$B$4)</f>
        <v/>
      </c>
      <c r="Z56" s="6">
        <f>基礎データ!AC56*(1+前提・出典!$B$2)+前提・出典!$B$3*(1+前提・出典!$B$4)</f>
        <v/>
      </c>
      <c r="AA56" s="6">
        <f>基礎データ!AD56*(1+前提・出典!$B$2)+前提・出典!$B$3*(1+前提・出典!$B$4)</f>
        <v/>
      </c>
      <c r="AB56" s="6">
        <f>基礎データ!AE56*(1+前提・出典!$B$2)+前提・出典!$B$3*(1+前提・出典!$B$4)</f>
        <v/>
      </c>
    </row>
    <row r="57">
      <c r="A57">
        <f>基礎データ!A57</f>
        <v/>
      </c>
      <c r="B57" s="6">
        <f>基礎データ!E57*(1+前提・出典!$B$2)+前提・出典!$B$3*(1+前提・出典!$B$4)</f>
        <v/>
      </c>
      <c r="C57" s="6">
        <f>基礎データ!F57*(1+前提・出典!$B$2)+前提・出典!$B$3*(1+前提・出典!$B$4)</f>
        <v/>
      </c>
      <c r="D57" s="6">
        <f>基礎データ!G57*(1+前提・出典!$B$2)+前提・出典!$B$3*(1+前提・出典!$B$4)</f>
        <v/>
      </c>
      <c r="E57" s="6">
        <f>基礎データ!H57*(1+前提・出典!$B$2)+前提・出典!$B$3*(1+前提・出典!$B$4)</f>
        <v/>
      </c>
      <c r="F57" s="6">
        <f>基礎データ!I57*(1+前提・出典!$B$2)+前提・出典!$B$3*(1+前提・出典!$B$4)</f>
        <v/>
      </c>
      <c r="G57" s="6">
        <f>基礎データ!J57*(1+前提・出典!$B$2)+前提・出典!$B$3*(1+前提・出典!$B$4)</f>
        <v/>
      </c>
      <c r="H57" s="6">
        <f>基礎データ!K57*(1+前提・出典!$B$2)+前提・出典!$B$3*(1+前提・出典!$B$4)</f>
        <v/>
      </c>
      <c r="I57" s="6">
        <f>基礎データ!L57*(1+前提・出典!$B$2)+前提・出典!$B$3*(1+前提・出典!$B$4)</f>
        <v/>
      </c>
      <c r="J57" s="6">
        <f>基礎データ!M57*(1+前提・出典!$B$2)+前提・出典!$B$3*(1+前提・出典!$B$4)</f>
        <v/>
      </c>
      <c r="K57" s="6">
        <f>基礎データ!N57*(1+前提・出典!$B$2)+前提・出典!$B$3*(1+前提・出典!$B$4)</f>
        <v/>
      </c>
      <c r="L57" s="6">
        <f>基礎データ!O57*(1+前提・出典!$B$2)+前提・出典!$B$3*(1+前提・出典!$B$4)</f>
        <v/>
      </c>
      <c r="M57" s="6">
        <f>基礎データ!P57*(1+前提・出典!$B$2)+前提・出典!$B$3*(1+前提・出典!$B$4)</f>
        <v/>
      </c>
      <c r="N57" s="6">
        <f>基礎データ!Q57*(1+前提・出典!$B$2)+前提・出典!$B$3*(1+前提・出典!$B$4)</f>
        <v/>
      </c>
      <c r="O57" s="6">
        <f>基礎データ!R57*(1+前提・出典!$B$2)+前提・出典!$B$3*(1+前提・出典!$B$4)</f>
        <v/>
      </c>
      <c r="P57" s="6">
        <f>基礎データ!S57*(1+前提・出典!$B$2)+前提・出典!$B$3*(1+前提・出典!$B$4)</f>
        <v/>
      </c>
      <c r="Q57" s="6">
        <f>基礎データ!T57*(1+前提・出典!$B$2)+前提・出典!$B$3*(1+前提・出典!$B$4)</f>
        <v/>
      </c>
      <c r="R57" s="6">
        <f>基礎データ!U57*(1+前提・出典!$B$2)+前提・出典!$B$3*(1+前提・出典!$B$4)</f>
        <v/>
      </c>
      <c r="S57" s="6">
        <f>基礎データ!V57*(1+前提・出典!$B$2)+前提・出典!$B$3*(1+前提・出典!$B$4)</f>
        <v/>
      </c>
      <c r="T57" s="6">
        <f>基礎データ!W57*(1+前提・出典!$B$2)+前提・出典!$B$3*(1+前提・出典!$B$4)</f>
        <v/>
      </c>
      <c r="U57" s="6">
        <f>基礎データ!X57*(1+前提・出典!$B$2)+前提・出典!$B$3*(1+前提・出典!$B$4)</f>
        <v/>
      </c>
      <c r="V57" s="6">
        <f>基礎データ!Y57*(1+前提・出典!$B$2)+前提・出典!$B$3*(1+前提・出典!$B$4)</f>
        <v/>
      </c>
      <c r="W57" s="6">
        <f>基礎データ!Z57*(1+前提・出典!$B$2)+前提・出典!$B$3*(1+前提・出典!$B$4)</f>
        <v/>
      </c>
      <c r="X57" s="6">
        <f>基礎データ!AA57*(1+前提・出典!$B$2)+前提・出典!$B$3*(1+前提・出典!$B$4)</f>
        <v/>
      </c>
      <c r="Y57" s="6">
        <f>基礎データ!AB57*(1+前提・出典!$B$2)+前提・出典!$B$3*(1+前提・出典!$B$4)</f>
        <v/>
      </c>
      <c r="Z57" s="6">
        <f>基礎データ!AC57*(1+前提・出典!$B$2)+前提・出典!$B$3*(1+前提・出典!$B$4)</f>
        <v/>
      </c>
      <c r="AA57" s="6">
        <f>基礎データ!AD57*(1+前提・出典!$B$2)+前提・出典!$B$3*(1+前提・出典!$B$4)</f>
        <v/>
      </c>
      <c r="AB57" s="6">
        <f>基礎データ!AE57*(1+前提・出典!$B$2)+前提・出典!$B$3*(1+前提・出典!$B$4)</f>
        <v/>
      </c>
    </row>
    <row r="58">
      <c r="A58">
        <f>基礎データ!A58</f>
        <v/>
      </c>
      <c r="B58" s="6">
        <f>基礎データ!E58*(1+前提・出典!$B$2)+前提・出典!$B$3*(1+前提・出典!$B$4)</f>
        <v/>
      </c>
      <c r="C58" s="6">
        <f>基礎データ!F58*(1+前提・出典!$B$2)+前提・出典!$B$3*(1+前提・出典!$B$4)</f>
        <v/>
      </c>
      <c r="D58" s="6">
        <f>基礎データ!G58*(1+前提・出典!$B$2)+前提・出典!$B$3*(1+前提・出典!$B$4)</f>
        <v/>
      </c>
      <c r="E58" s="6">
        <f>基礎データ!H58*(1+前提・出典!$B$2)+前提・出典!$B$3*(1+前提・出典!$B$4)</f>
        <v/>
      </c>
      <c r="F58" s="6">
        <f>基礎データ!I58*(1+前提・出典!$B$2)+前提・出典!$B$3*(1+前提・出典!$B$4)</f>
        <v/>
      </c>
      <c r="G58" s="6">
        <f>基礎データ!J58*(1+前提・出典!$B$2)+前提・出典!$B$3*(1+前提・出典!$B$4)</f>
        <v/>
      </c>
      <c r="H58" s="6">
        <f>基礎データ!K58*(1+前提・出典!$B$2)+前提・出典!$B$3*(1+前提・出典!$B$4)</f>
        <v/>
      </c>
      <c r="I58" s="6">
        <f>基礎データ!L58*(1+前提・出典!$B$2)+前提・出典!$B$3*(1+前提・出典!$B$4)</f>
        <v/>
      </c>
      <c r="J58" s="6">
        <f>基礎データ!M58*(1+前提・出典!$B$2)+前提・出典!$B$3*(1+前提・出典!$B$4)</f>
        <v/>
      </c>
      <c r="K58" s="6">
        <f>基礎データ!N58*(1+前提・出典!$B$2)+前提・出典!$B$3*(1+前提・出典!$B$4)</f>
        <v/>
      </c>
      <c r="L58" s="6">
        <f>基礎データ!O58*(1+前提・出典!$B$2)+前提・出典!$B$3*(1+前提・出典!$B$4)</f>
        <v/>
      </c>
      <c r="M58" s="6">
        <f>基礎データ!P58*(1+前提・出典!$B$2)+前提・出典!$B$3*(1+前提・出典!$B$4)</f>
        <v/>
      </c>
      <c r="N58" s="6">
        <f>基礎データ!Q58*(1+前提・出典!$B$2)+前提・出典!$B$3*(1+前提・出典!$B$4)</f>
        <v/>
      </c>
      <c r="O58" s="6">
        <f>基礎データ!R58*(1+前提・出典!$B$2)+前提・出典!$B$3*(1+前提・出典!$B$4)</f>
        <v/>
      </c>
      <c r="P58" s="6">
        <f>基礎データ!S58*(1+前提・出典!$B$2)+前提・出典!$B$3*(1+前提・出典!$B$4)</f>
        <v/>
      </c>
      <c r="Q58" s="6">
        <f>基礎データ!T58*(1+前提・出典!$B$2)+前提・出典!$B$3*(1+前提・出典!$B$4)</f>
        <v/>
      </c>
      <c r="R58" s="6">
        <f>基礎データ!U58*(1+前提・出典!$B$2)+前提・出典!$B$3*(1+前提・出典!$B$4)</f>
        <v/>
      </c>
      <c r="S58" s="6">
        <f>基礎データ!V58*(1+前提・出典!$B$2)+前提・出典!$B$3*(1+前提・出典!$B$4)</f>
        <v/>
      </c>
      <c r="T58" s="6">
        <f>基礎データ!W58*(1+前提・出典!$B$2)+前提・出典!$B$3*(1+前提・出典!$B$4)</f>
        <v/>
      </c>
      <c r="U58" s="6">
        <f>基礎データ!X58*(1+前提・出典!$B$2)+前提・出典!$B$3*(1+前提・出典!$B$4)</f>
        <v/>
      </c>
      <c r="V58" s="6">
        <f>基礎データ!Y58*(1+前提・出典!$B$2)+前提・出典!$B$3*(1+前提・出典!$B$4)</f>
        <v/>
      </c>
      <c r="W58" s="6">
        <f>基礎データ!Z58*(1+前提・出典!$B$2)+前提・出典!$B$3*(1+前提・出典!$B$4)</f>
        <v/>
      </c>
      <c r="X58" s="6">
        <f>基礎データ!AA58*(1+前提・出典!$B$2)+前提・出典!$B$3*(1+前提・出典!$B$4)</f>
        <v/>
      </c>
      <c r="Y58" s="6">
        <f>基礎データ!AB58*(1+前提・出典!$B$2)+前提・出典!$B$3*(1+前提・出典!$B$4)</f>
        <v/>
      </c>
      <c r="Z58" s="6">
        <f>基礎データ!AC58*(1+前提・出典!$B$2)+前提・出典!$B$3*(1+前提・出典!$B$4)</f>
        <v/>
      </c>
      <c r="AA58" s="6">
        <f>基礎データ!AD58*(1+前提・出典!$B$2)+前提・出典!$B$3*(1+前提・出典!$B$4)</f>
        <v/>
      </c>
      <c r="AB58" s="6">
        <f>基礎データ!AE58*(1+前提・出典!$B$2)+前提・出典!$B$3*(1+前提・出典!$B$4)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7" t="inlineStr">
        <is>
          <t>アメリカ向け料金表（円・SpeedPAK Economy）。合計＝基本送料×(1+燃油)＋輸入通関手数料245円。関税込み合計＝合計＋関税上乗せ額。出典: 料金ガイドp.6-7</t>
        </is>
      </c>
    </row>
    <row r="3">
      <c r="A3" s="7" t="inlineStr">
        <is>
          <t>申告価格（USD）</t>
        </is>
      </c>
      <c r="B3" s="3" t="n">
        <v>50</v>
      </c>
      <c r="C3" t="inlineStr">
        <is>
          <t>商品価格のみ（送料・保険を除く）。青字＝変更可</t>
        </is>
      </c>
    </row>
    <row r="4">
      <c r="A4" s="7" t="inlineStr">
        <is>
          <t>想定関税率</t>
        </is>
      </c>
      <c r="B4" s="10" t="n">
        <v>0.15</v>
      </c>
      <c r="C4" t="inlineStr">
        <is>
          <t>従来運用の想定値。実際の事前設定レートは料金ガイド非公表・随時変更のため要確認</t>
        </is>
      </c>
    </row>
    <row r="5">
      <c r="A5" s="7" t="inlineStr">
        <is>
          <t>為替（円/ドル）</t>
        </is>
      </c>
      <c r="B5" s="11">
        <f>前提・出典!$B$6</f>
        <v/>
      </c>
      <c r="C5" t="inlineStr">
        <is>
          <t>前提・出典タブから参照</t>
        </is>
      </c>
    </row>
    <row r="6">
      <c r="A6" s="7" t="inlineStr">
        <is>
          <t>関税上乗せ額（円）</t>
        </is>
      </c>
      <c r="B6" s="6">
        <f>B3*B5*B4*(1+前提・出典!$B$4)</f>
        <v/>
      </c>
      <c r="C6" t="inlineStr">
        <is>
          <t>＝申告価格×為替×関税率×(1+処理手数料2.1%)</t>
        </is>
      </c>
    </row>
    <row r="8">
      <c r="A8" s="8" t="inlineStr">
        <is>
          <t>重量kg最大</t>
        </is>
      </c>
      <c r="B8" s="8" t="inlineStr">
        <is>
          <t>本土48州 基本送料</t>
        </is>
      </c>
      <c r="C8" s="8" t="inlineStr">
        <is>
          <t>本土48州 合計（関税除く）</t>
        </is>
      </c>
      <c r="D8" s="8" t="inlineStr">
        <is>
          <t>本土48州 関税込み合計</t>
        </is>
      </c>
      <c r="E8" s="8" t="inlineStr">
        <is>
          <t>48州以外 基本送料</t>
        </is>
      </c>
      <c r="F8" s="8" t="inlineStr">
        <is>
          <t>48州以外 合計（関税除く）</t>
        </is>
      </c>
      <c r="G8" s="8" t="inlineStr">
        <is>
          <t>48州以外 関税込み合計</t>
        </is>
      </c>
    </row>
    <row r="9">
      <c r="A9" t="n">
        <v>0.1</v>
      </c>
      <c r="B9" s="6" t="n">
        <v>1157</v>
      </c>
      <c r="C9" s="6">
        <f>B9*(1+前提・出典!$B$2)+前提・出典!$B$5</f>
        <v/>
      </c>
      <c r="D9" s="6">
        <f>C9+$B$6</f>
        <v/>
      </c>
      <c r="E9" s="6" t="n">
        <v>1226</v>
      </c>
      <c r="F9" s="6">
        <f>E9*(1+前提・出典!$B$2)+前提・出典!$B$5</f>
        <v/>
      </c>
      <c r="G9" s="6">
        <f>F9+$B$6</f>
        <v/>
      </c>
    </row>
    <row r="10">
      <c r="A10" t="n">
        <v>0.2</v>
      </c>
      <c r="B10" s="6" t="n">
        <v>1289</v>
      </c>
      <c r="C10" s="6">
        <f>B10*(1+前提・出典!$B$2)+前提・出典!$B$5</f>
        <v/>
      </c>
      <c r="D10" s="6">
        <f>C10+$B$6</f>
        <v/>
      </c>
      <c r="E10" s="6" t="n">
        <v>1393</v>
      </c>
      <c r="F10" s="6">
        <f>E10*(1+前提・出典!$B$2)+前提・出典!$B$5</f>
        <v/>
      </c>
      <c r="G10" s="6">
        <f>F10+$B$6</f>
        <v/>
      </c>
    </row>
    <row r="11">
      <c r="A11" t="n">
        <v>0.3</v>
      </c>
      <c r="B11" s="6" t="n">
        <v>1491</v>
      </c>
      <c r="C11" s="6">
        <f>B11*(1+前提・出典!$B$2)+前提・出典!$B$5</f>
        <v/>
      </c>
      <c r="D11" s="6">
        <f>C11+$B$6</f>
        <v/>
      </c>
      <c r="E11" s="6" t="n">
        <v>1703</v>
      </c>
      <c r="F11" s="6">
        <f>E11*(1+前提・出典!$B$2)+前提・出典!$B$5</f>
        <v/>
      </c>
      <c r="G11" s="6">
        <f>F11+$B$6</f>
        <v/>
      </c>
    </row>
    <row r="12">
      <c r="A12" t="n">
        <v>0.4</v>
      </c>
      <c r="B12" s="6" t="n">
        <v>1677</v>
      </c>
      <c r="C12" s="6">
        <f>B12*(1+前提・出典!$B$2)+前提・出典!$B$5</f>
        <v/>
      </c>
      <c r="D12" s="6">
        <f>C12+$B$6</f>
        <v/>
      </c>
      <c r="E12" s="6" t="n">
        <v>2005</v>
      </c>
      <c r="F12" s="6">
        <f>E12*(1+前提・出典!$B$2)+前提・出典!$B$5</f>
        <v/>
      </c>
      <c r="G12" s="6">
        <f>F12+$B$6</f>
        <v/>
      </c>
    </row>
    <row r="13">
      <c r="A13" t="n">
        <v>0.5</v>
      </c>
      <c r="B13" s="6" t="n">
        <v>1943</v>
      </c>
      <c r="C13" s="6">
        <f>B13*(1+前提・出典!$B$2)+前提・出典!$B$5</f>
        <v/>
      </c>
      <c r="D13" s="6">
        <f>C13+$B$6</f>
        <v/>
      </c>
      <c r="E13" s="6" t="n">
        <v>2473</v>
      </c>
      <c r="F13" s="6">
        <f>E13*(1+前提・出典!$B$2)+前提・出典!$B$5</f>
        <v/>
      </c>
      <c r="G13" s="6">
        <f>F13+$B$6</f>
        <v/>
      </c>
    </row>
    <row r="14">
      <c r="A14" t="n">
        <v>0.6</v>
      </c>
      <c r="B14" s="6" t="n">
        <v>2096</v>
      </c>
      <c r="C14" s="6">
        <f>B14*(1+前提・出典!$B$2)+前提・出典!$B$5</f>
        <v/>
      </c>
      <c r="D14" s="6">
        <f>C14+$B$6</f>
        <v/>
      </c>
      <c r="E14" s="6" t="n">
        <v>2640</v>
      </c>
      <c r="F14" s="6">
        <f>E14*(1+前提・出典!$B$2)+前提・出典!$B$5</f>
        <v/>
      </c>
      <c r="G14" s="6">
        <f>F14+$B$6</f>
        <v/>
      </c>
    </row>
    <row r="15">
      <c r="A15" t="n">
        <v>0.7</v>
      </c>
      <c r="B15" s="6" t="n">
        <v>2189</v>
      </c>
      <c r="C15" s="6">
        <f>B15*(1+前提・出典!$B$2)+前提・出典!$B$5</f>
        <v/>
      </c>
      <c r="D15" s="6">
        <f>C15+$B$6</f>
        <v/>
      </c>
      <c r="E15" s="6" t="n">
        <v>2733</v>
      </c>
      <c r="F15" s="6">
        <f>E15*(1+前提・出典!$B$2)+前提・出典!$B$5</f>
        <v/>
      </c>
      <c r="G15" s="6">
        <f>F15+$B$6</f>
        <v/>
      </c>
    </row>
    <row r="16">
      <c r="A16" t="n">
        <v>0.8</v>
      </c>
      <c r="B16" s="6" t="n">
        <v>2549</v>
      </c>
      <c r="C16" s="6">
        <f>B16*(1+前提・出典!$B$2)+前提・出典!$B$5</f>
        <v/>
      </c>
      <c r="D16" s="6">
        <f>C16+$B$6</f>
        <v/>
      </c>
      <c r="E16" s="6" t="n">
        <v>3154</v>
      </c>
      <c r="F16" s="6">
        <f>E16*(1+前提・出典!$B$2)+前提・出典!$B$5</f>
        <v/>
      </c>
      <c r="G16" s="6">
        <f>F16+$B$6</f>
        <v/>
      </c>
    </row>
    <row r="17">
      <c r="A17" t="n">
        <v>0.9</v>
      </c>
      <c r="B17" s="6" t="n">
        <v>2660</v>
      </c>
      <c r="C17" s="6">
        <f>B17*(1+前提・出典!$B$2)+前提・出典!$B$5</f>
        <v/>
      </c>
      <c r="D17" s="6">
        <f>C17+$B$6</f>
        <v/>
      </c>
      <c r="E17" s="6" t="n">
        <v>3267</v>
      </c>
      <c r="F17" s="6">
        <f>E17*(1+前提・出典!$B$2)+前提・出典!$B$5</f>
        <v/>
      </c>
      <c r="G17" s="6">
        <f>F17+$B$6</f>
        <v/>
      </c>
    </row>
    <row r="18">
      <c r="A18" t="n">
        <v>1</v>
      </c>
      <c r="B18" s="6" t="n">
        <v>2848</v>
      </c>
      <c r="C18" s="6">
        <f>B18*(1+前提・出典!$B$2)+前提・出典!$B$5</f>
        <v/>
      </c>
      <c r="D18" s="6">
        <f>C18+$B$6</f>
        <v/>
      </c>
      <c r="E18" s="6" t="n">
        <v>3844</v>
      </c>
      <c r="F18" s="6">
        <f>E18*(1+前提・出典!$B$2)+前提・出典!$B$5</f>
        <v/>
      </c>
      <c r="G18" s="6">
        <f>F18+$B$6</f>
        <v/>
      </c>
    </row>
    <row r="19">
      <c r="A19" t="n">
        <v>1.1</v>
      </c>
      <c r="B19" s="6" t="n">
        <v>2958</v>
      </c>
      <c r="C19" s="6">
        <f>B19*(1+前提・出典!$B$2)+前提・出典!$B$5</f>
        <v/>
      </c>
      <c r="D19" s="6">
        <f>C19+$B$6</f>
        <v/>
      </c>
      <c r="E19" s="6" t="n">
        <v>3954</v>
      </c>
      <c r="F19" s="6">
        <f>E19*(1+前提・出典!$B$2)+前提・出典!$B$5</f>
        <v/>
      </c>
      <c r="G19" s="6">
        <f>F19+$B$6</f>
        <v/>
      </c>
    </row>
    <row r="20">
      <c r="A20" t="n">
        <v>1.2</v>
      </c>
      <c r="B20" s="6" t="n">
        <v>3065</v>
      </c>
      <c r="C20" s="6">
        <f>B20*(1+前提・出典!$B$2)+前提・出典!$B$5</f>
        <v/>
      </c>
      <c r="D20" s="6">
        <f>C20+$B$6</f>
        <v/>
      </c>
      <c r="E20" s="6" t="n">
        <v>4061</v>
      </c>
      <c r="F20" s="6">
        <f>E20*(1+前提・出典!$B$2)+前提・出典!$B$5</f>
        <v/>
      </c>
      <c r="G20" s="6">
        <f>F20+$B$6</f>
        <v/>
      </c>
    </row>
    <row r="21">
      <c r="A21" t="n">
        <v>1.3</v>
      </c>
      <c r="B21" s="6" t="n">
        <v>3174</v>
      </c>
      <c r="C21" s="6">
        <f>B21*(1+前提・出典!$B$2)+前提・出典!$B$5</f>
        <v/>
      </c>
      <c r="D21" s="6">
        <f>C21+$B$6</f>
        <v/>
      </c>
      <c r="E21" s="6" t="n">
        <v>4170</v>
      </c>
      <c r="F21" s="6">
        <f>E21*(1+前提・出典!$B$2)+前提・出典!$B$5</f>
        <v/>
      </c>
      <c r="G21" s="6">
        <f>F21+$B$6</f>
        <v/>
      </c>
    </row>
    <row r="22">
      <c r="A22" t="n">
        <v>1.4</v>
      </c>
      <c r="B22" s="6" t="n">
        <v>3493</v>
      </c>
      <c r="C22" s="6">
        <f>B22*(1+前提・出典!$B$2)+前提・出典!$B$5</f>
        <v/>
      </c>
      <c r="D22" s="6">
        <f>C22+$B$6</f>
        <v/>
      </c>
      <c r="E22" s="6" t="n">
        <v>4798</v>
      </c>
      <c r="F22" s="6">
        <f>E22*(1+前提・出典!$B$2)+前提・出典!$B$5</f>
        <v/>
      </c>
      <c r="G22" s="6">
        <f>F22+$B$6</f>
        <v/>
      </c>
    </row>
    <row r="23">
      <c r="A23" t="n">
        <v>1.5</v>
      </c>
      <c r="B23" s="6" t="n">
        <v>3599</v>
      </c>
      <c r="C23" s="6">
        <f>B23*(1+前提・出典!$B$2)+前提・出典!$B$5</f>
        <v/>
      </c>
      <c r="D23" s="6">
        <f>C23+$B$6</f>
        <v/>
      </c>
      <c r="E23" s="6" t="n">
        <v>4904</v>
      </c>
      <c r="F23" s="6">
        <f>E23*(1+前提・出典!$B$2)+前提・出典!$B$5</f>
        <v/>
      </c>
      <c r="G23" s="6">
        <f>F23+$B$6</f>
        <v/>
      </c>
    </row>
    <row r="24">
      <c r="A24" t="n">
        <v>1.6</v>
      </c>
      <c r="B24" s="6" t="n">
        <v>3711</v>
      </c>
      <c r="C24" s="6">
        <f>B24*(1+前提・出典!$B$2)+前提・出典!$B$5</f>
        <v/>
      </c>
      <c r="D24" s="6">
        <f>C24+$B$6</f>
        <v/>
      </c>
      <c r="E24" s="6" t="n">
        <v>5016</v>
      </c>
      <c r="F24" s="6">
        <f>E24*(1+前提・出典!$B$2)+前提・出典!$B$5</f>
        <v/>
      </c>
      <c r="G24" s="6">
        <f>F24+$B$6</f>
        <v/>
      </c>
    </row>
    <row r="25">
      <c r="A25" t="n">
        <v>1.7</v>
      </c>
      <c r="B25" s="6" t="n">
        <v>3816</v>
      </c>
      <c r="C25" s="6">
        <f>B25*(1+前提・出典!$B$2)+前提・出典!$B$5</f>
        <v/>
      </c>
      <c r="D25" s="6">
        <f>C25+$B$6</f>
        <v/>
      </c>
      <c r="E25" s="6" t="n">
        <v>5121</v>
      </c>
      <c r="F25" s="6">
        <f>E25*(1+前提・出典!$B$2)+前提・出典!$B$5</f>
        <v/>
      </c>
      <c r="G25" s="6">
        <f>F25+$B$6</f>
        <v/>
      </c>
    </row>
    <row r="26">
      <c r="A26" t="n">
        <v>1.8</v>
      </c>
      <c r="B26" s="6" t="n">
        <v>3928</v>
      </c>
      <c r="C26" s="6">
        <f>B26*(1+前提・出典!$B$2)+前提・出典!$B$5</f>
        <v/>
      </c>
      <c r="D26" s="6">
        <f>C26+$B$6</f>
        <v/>
      </c>
      <c r="E26" s="6" t="n">
        <v>5233</v>
      </c>
      <c r="F26" s="6">
        <f>E26*(1+前提・出典!$B$2)+前提・出典!$B$5</f>
        <v/>
      </c>
      <c r="G26" s="6">
        <f>F26+$B$6</f>
        <v/>
      </c>
    </row>
    <row r="27">
      <c r="A27" t="n">
        <v>1.9</v>
      </c>
      <c r="B27" s="6" t="n">
        <v>4768</v>
      </c>
      <c r="C27" s="6">
        <f>B27*(1+前提・出典!$B$2)+前提・出典!$B$5</f>
        <v/>
      </c>
      <c r="D27" s="6">
        <f>C27+$B$6</f>
        <v/>
      </c>
      <c r="E27" s="6" t="n">
        <v>5287</v>
      </c>
      <c r="F27" s="6">
        <f>E27*(1+前提・出典!$B$2)+前提・出典!$B$5</f>
        <v/>
      </c>
      <c r="G27" s="6">
        <f>F27+$B$6</f>
        <v/>
      </c>
    </row>
    <row r="28">
      <c r="A28" t="n">
        <v>2</v>
      </c>
      <c r="B28" s="6" t="n">
        <v>4947</v>
      </c>
      <c r="C28" s="6">
        <f>B28*(1+前提・出典!$B$2)+前提・出典!$B$5</f>
        <v/>
      </c>
      <c r="D28" s="6">
        <f>C28+$B$6</f>
        <v/>
      </c>
      <c r="E28" s="6" t="n">
        <v>5475</v>
      </c>
      <c r="F28" s="6">
        <f>E28*(1+前提・出典!$B$2)+前提・出典!$B$5</f>
        <v/>
      </c>
      <c r="G28" s="6">
        <f>F28+$B$6</f>
        <v/>
      </c>
    </row>
    <row r="29">
      <c r="A29" t="n">
        <v>2.5</v>
      </c>
      <c r="B29" s="6" t="n">
        <v>5264</v>
      </c>
      <c r="C29" s="6">
        <f>B29*(1+前提・出典!$B$2)+前提・出典!$B$5</f>
        <v/>
      </c>
      <c r="D29" s="6">
        <f>C29+$B$6</f>
        <v/>
      </c>
      <c r="E29" s="6" t="n">
        <v>5724</v>
      </c>
      <c r="F29" s="6">
        <f>E29*(1+前提・出典!$B$2)+前提・出典!$B$5</f>
        <v/>
      </c>
      <c r="G29" s="6">
        <f>F29+$B$6</f>
        <v/>
      </c>
    </row>
    <row r="30">
      <c r="A30" t="n">
        <v>3</v>
      </c>
      <c r="B30" s="6" t="n">
        <v>5973</v>
      </c>
      <c r="C30" s="6">
        <f>B30*(1+前提・出典!$B$2)+前提・出典!$B$5</f>
        <v/>
      </c>
      <c r="D30" s="6">
        <f>C30+$B$6</f>
        <v/>
      </c>
      <c r="E30" s="6" t="n">
        <v>6589</v>
      </c>
      <c r="F30" s="6">
        <f>E30*(1+前提・出典!$B$2)+前提・出典!$B$5</f>
        <v/>
      </c>
      <c r="G30" s="6">
        <f>F30+$B$6</f>
        <v/>
      </c>
    </row>
    <row r="31">
      <c r="A31" t="n">
        <v>3.5</v>
      </c>
      <c r="B31" s="6" t="n">
        <v>6562</v>
      </c>
      <c r="C31" s="6">
        <f>B31*(1+前提・出典!$B$2)+前提・出典!$B$5</f>
        <v/>
      </c>
      <c r="D31" s="6">
        <f>C31+$B$6</f>
        <v/>
      </c>
      <c r="E31" s="6" t="n">
        <v>7412</v>
      </c>
      <c r="F31" s="6">
        <f>E31*(1+前提・出典!$B$2)+前提・出典!$B$5</f>
        <v/>
      </c>
      <c r="G31" s="6">
        <f>F31+$B$6</f>
        <v/>
      </c>
    </row>
    <row r="32">
      <c r="A32" t="n">
        <v>4</v>
      </c>
      <c r="B32" s="6" t="n">
        <v>7266</v>
      </c>
      <c r="C32" s="6">
        <f>B32*(1+前提・出典!$B$2)+前提・出典!$B$5</f>
        <v/>
      </c>
      <c r="D32" s="6">
        <f>C32+$B$6</f>
        <v/>
      </c>
      <c r="E32" s="6" t="n">
        <v>8210</v>
      </c>
      <c r="F32" s="6">
        <f>E32*(1+前提・出典!$B$2)+前提・出典!$B$5</f>
        <v/>
      </c>
      <c r="G32" s="6">
        <f>F32+$B$6</f>
        <v/>
      </c>
    </row>
    <row r="33">
      <c r="A33" t="n">
        <v>4.5</v>
      </c>
      <c r="B33" s="6" t="n">
        <v>8615</v>
      </c>
      <c r="C33" s="6">
        <f>B33*(1+前提・出典!$B$2)+前提・出典!$B$5</f>
        <v/>
      </c>
      <c r="D33" s="6">
        <f>C33+$B$6</f>
        <v/>
      </c>
      <c r="E33" s="6" t="n">
        <v>9409</v>
      </c>
      <c r="F33" s="6">
        <f>E33*(1+前提・出典!$B$2)+前提・出典!$B$5</f>
        <v/>
      </c>
      <c r="G33" s="6">
        <f>F33+$B$6</f>
        <v/>
      </c>
    </row>
    <row r="34">
      <c r="A34" t="n">
        <v>5</v>
      </c>
      <c r="B34" s="6" t="n">
        <v>11065</v>
      </c>
      <c r="C34" s="6">
        <f>B34*(1+前提・出典!$B$2)+前提・出典!$B$5</f>
        <v/>
      </c>
      <c r="D34" s="6">
        <f>C34+$B$6</f>
        <v/>
      </c>
      <c r="E34" s="6" t="n">
        <v>11065</v>
      </c>
      <c r="F34" s="6">
        <f>E34*(1+前提・出典!$B$2)+前提・出典!$B$5</f>
        <v/>
      </c>
      <c r="G34" s="6">
        <f>F34+$B$6</f>
        <v/>
      </c>
    </row>
    <row r="35">
      <c r="A35" t="n">
        <v>5.5</v>
      </c>
      <c r="B35" s="6" t="n">
        <v>11789</v>
      </c>
      <c r="C35" s="6">
        <f>B35*(1+前提・出典!$B$2)+前提・出典!$B$5</f>
        <v/>
      </c>
      <c r="D35" s="6">
        <f>C35+$B$6</f>
        <v/>
      </c>
      <c r="E35" s="6" t="n">
        <v>11789</v>
      </c>
      <c r="F35" s="6">
        <f>E35*(1+前提・出典!$B$2)+前提・出典!$B$5</f>
        <v/>
      </c>
      <c r="G35" s="6">
        <f>F35+$B$6</f>
        <v/>
      </c>
    </row>
    <row r="36">
      <c r="A36" t="n">
        <v>6</v>
      </c>
      <c r="B36" s="6" t="n">
        <v>12576</v>
      </c>
      <c r="C36" s="6">
        <f>B36*(1+前提・出典!$B$2)+前提・出典!$B$5</f>
        <v/>
      </c>
      <c r="D36" s="6">
        <f>C36+$B$6</f>
        <v/>
      </c>
      <c r="E36" s="6" t="n">
        <v>12576</v>
      </c>
      <c r="F36" s="6">
        <f>E36*(1+前提・出典!$B$2)+前提・出典!$B$5</f>
        <v/>
      </c>
      <c r="G36" s="6">
        <f>F36+$B$6</f>
        <v/>
      </c>
    </row>
    <row r="37">
      <c r="A37" t="n">
        <v>6.5</v>
      </c>
      <c r="B37" s="6" t="n">
        <v>13354</v>
      </c>
      <c r="C37" s="6">
        <f>B37*(1+前提・出典!$B$2)+前提・出典!$B$5</f>
        <v/>
      </c>
      <c r="D37" s="6">
        <f>C37+$B$6</f>
        <v/>
      </c>
      <c r="E37" s="6" t="n">
        <v>13354</v>
      </c>
      <c r="F37" s="6">
        <f>E37*(1+前提・出典!$B$2)+前提・出典!$B$5</f>
        <v/>
      </c>
      <c r="G37" s="6">
        <f>F37+$B$6</f>
        <v/>
      </c>
    </row>
    <row r="38">
      <c r="A38" t="n">
        <v>7</v>
      </c>
      <c r="B38" s="6" t="n">
        <v>14344</v>
      </c>
      <c r="C38" s="6">
        <f>B38*(1+前提・出典!$B$2)+前提・出典!$B$5</f>
        <v/>
      </c>
      <c r="D38" s="6">
        <f>C38+$B$6</f>
        <v/>
      </c>
      <c r="E38" s="6" t="n">
        <v>14801</v>
      </c>
      <c r="F38" s="6">
        <f>E38*(1+前提・出典!$B$2)+前提・出典!$B$5</f>
        <v/>
      </c>
      <c r="G38" s="6">
        <f>F38+$B$6</f>
        <v/>
      </c>
    </row>
    <row r="39">
      <c r="A39" t="n">
        <v>7.5</v>
      </c>
      <c r="B39" s="6" t="n">
        <v>15144</v>
      </c>
      <c r="C39" s="6">
        <f>B39*(1+前提・出典!$B$2)+前提・出典!$B$5</f>
        <v/>
      </c>
      <c r="D39" s="6">
        <f>C39+$B$6</f>
        <v/>
      </c>
      <c r="E39" s="6" t="n">
        <v>15470</v>
      </c>
      <c r="F39" s="6">
        <f>E39*(1+前提・出典!$B$2)+前提・出典!$B$5</f>
        <v/>
      </c>
      <c r="G39" s="6">
        <f>F39+$B$6</f>
        <v/>
      </c>
    </row>
    <row r="40">
      <c r="A40" t="n">
        <v>8</v>
      </c>
      <c r="B40" s="6" t="n">
        <v>15932</v>
      </c>
      <c r="C40" s="6">
        <f>B40*(1+前提・出典!$B$2)+前提・出典!$B$5</f>
        <v/>
      </c>
      <c r="D40" s="6">
        <f>C40+$B$6</f>
        <v/>
      </c>
      <c r="E40" s="6" t="n">
        <v>16129</v>
      </c>
      <c r="F40" s="6">
        <f>E40*(1+前提・出典!$B$2)+前提・出典!$B$5</f>
        <v/>
      </c>
      <c r="G40" s="6">
        <f>F40+$B$6</f>
        <v/>
      </c>
    </row>
    <row r="41">
      <c r="A41" t="n">
        <v>8.5</v>
      </c>
      <c r="B41" s="6" t="n">
        <v>16563</v>
      </c>
      <c r="C41" s="6">
        <f>B41*(1+前提・出典!$B$2)+前提・出典!$B$5</f>
        <v/>
      </c>
      <c r="D41" s="6">
        <f>C41+$B$6</f>
        <v/>
      </c>
      <c r="E41" s="6" t="n">
        <v>16785</v>
      </c>
      <c r="F41" s="6">
        <f>E41*(1+前提・出典!$B$2)+前提・出典!$B$5</f>
        <v/>
      </c>
      <c r="G41" s="6">
        <f>F41+$B$6</f>
        <v/>
      </c>
    </row>
    <row r="42">
      <c r="A42" t="n">
        <v>9</v>
      </c>
      <c r="B42" s="6" t="n">
        <v>17119</v>
      </c>
      <c r="C42" s="6">
        <f>B42*(1+前提・出典!$B$2)+前提・出典!$B$5</f>
        <v/>
      </c>
      <c r="D42" s="6">
        <f>C42+$B$6</f>
        <v/>
      </c>
      <c r="E42" s="6" t="n">
        <v>17403</v>
      </c>
      <c r="F42" s="6">
        <f>E42*(1+前提・出典!$B$2)+前提・出典!$B$5</f>
        <v/>
      </c>
      <c r="G42" s="6">
        <f>F42+$B$6</f>
        <v/>
      </c>
    </row>
    <row r="43">
      <c r="A43" t="n">
        <v>9.5</v>
      </c>
      <c r="B43" s="6" t="n">
        <v>18019</v>
      </c>
      <c r="C43" s="6">
        <f>B43*(1+前提・出典!$B$2)+前提・出典!$B$5</f>
        <v/>
      </c>
      <c r="D43" s="6">
        <f>C43+$B$6</f>
        <v/>
      </c>
      <c r="E43" s="6" t="n">
        <v>18059</v>
      </c>
      <c r="F43" s="6">
        <f>E43*(1+前提・出典!$B$2)+前提・出典!$B$5</f>
        <v/>
      </c>
      <c r="G43" s="6">
        <f>F43+$B$6</f>
        <v/>
      </c>
    </row>
    <row r="44">
      <c r="A44" t="n">
        <v>10</v>
      </c>
      <c r="B44" s="6" t="n">
        <v>18522</v>
      </c>
      <c r="C44" s="6">
        <f>B44*(1+前提・出典!$B$2)+前提・出典!$B$5</f>
        <v/>
      </c>
      <c r="D44" s="6">
        <f>C44+$B$6</f>
        <v/>
      </c>
      <c r="E44" s="6" t="n">
        <v>18890</v>
      </c>
      <c r="F44" s="6">
        <f>E44*(1+前提・出典!$B$2)+前提・出典!$B$5</f>
        <v/>
      </c>
      <c r="G44" s="6">
        <f>F44+$B$6</f>
        <v/>
      </c>
    </row>
    <row r="45">
      <c r="A45" t="n">
        <v>10.5</v>
      </c>
      <c r="B45" s="6" t="n">
        <v>19122</v>
      </c>
      <c r="C45" s="6">
        <f>B45*(1+前提・出典!$B$2)+前提・出典!$B$5</f>
        <v/>
      </c>
      <c r="D45" s="6">
        <f>C45+$B$6</f>
        <v/>
      </c>
      <c r="E45" s="6" t="n">
        <v>19547</v>
      </c>
      <c r="F45" s="6">
        <f>E45*(1+前提・出典!$B$2)+前提・出典!$B$5</f>
        <v/>
      </c>
      <c r="G45" s="6">
        <f>F45+$B$6</f>
        <v/>
      </c>
    </row>
    <row r="46">
      <c r="A46" t="n">
        <v>11</v>
      </c>
      <c r="B46" s="6" t="n">
        <v>19677</v>
      </c>
      <c r="C46" s="6">
        <f>B46*(1+前提・出典!$B$2)+前提・出典!$B$5</f>
        <v/>
      </c>
      <c r="D46" s="6">
        <f>C46+$B$6</f>
        <v/>
      </c>
      <c r="E46" s="6" t="n">
        <v>20134</v>
      </c>
      <c r="F46" s="6">
        <f>E46*(1+前提・出典!$B$2)+前提・出典!$B$5</f>
        <v/>
      </c>
      <c r="G46" s="6">
        <f>F46+$B$6</f>
        <v/>
      </c>
    </row>
    <row r="47">
      <c r="A47" t="n">
        <v>11.5</v>
      </c>
      <c r="B47" s="6" t="n">
        <v>20338</v>
      </c>
      <c r="C47" s="6">
        <f>B47*(1+前提・出典!$B$2)+前提・出典!$B$5</f>
        <v/>
      </c>
      <c r="D47" s="6">
        <f>C47+$B$6</f>
        <v/>
      </c>
      <c r="E47" s="6" t="n">
        <v>20861</v>
      </c>
      <c r="F47" s="6">
        <f>E47*(1+前提・出典!$B$2)+前提・出典!$B$5</f>
        <v/>
      </c>
      <c r="G47" s="6">
        <f>F47+$B$6</f>
        <v/>
      </c>
    </row>
    <row r="48">
      <c r="A48" t="n">
        <v>12</v>
      </c>
      <c r="B48" s="6" t="n">
        <v>20936</v>
      </c>
      <c r="C48" s="6">
        <f>B48*(1+前提・出典!$B$2)+前提・出典!$B$5</f>
        <v/>
      </c>
      <c r="D48" s="6">
        <f>C48+$B$6</f>
        <v/>
      </c>
      <c r="E48" s="6" t="n">
        <v>21636</v>
      </c>
      <c r="F48" s="6">
        <f>E48*(1+前提・出典!$B$2)+前提・出典!$B$5</f>
        <v/>
      </c>
      <c r="G48" s="6">
        <f>F48+$B$6</f>
        <v/>
      </c>
    </row>
    <row r="49">
      <c r="A49" t="n">
        <v>12.5</v>
      </c>
      <c r="B49" s="6" t="n">
        <v>21585</v>
      </c>
      <c r="C49" s="6">
        <f>B49*(1+前提・出典!$B$2)+前提・出典!$B$5</f>
        <v/>
      </c>
      <c r="D49" s="6">
        <f>C49+$B$6</f>
        <v/>
      </c>
      <c r="E49" s="6" t="n">
        <v>22424</v>
      </c>
      <c r="F49" s="6">
        <f>E49*(1+前提・出典!$B$2)+前提・出典!$B$5</f>
        <v/>
      </c>
      <c r="G49" s="6">
        <f>F49+$B$6</f>
        <v/>
      </c>
    </row>
    <row r="50">
      <c r="A50" t="n">
        <v>13</v>
      </c>
      <c r="B50" s="6" t="n">
        <v>22131</v>
      </c>
      <c r="C50" s="6">
        <f>B50*(1+前提・出典!$B$2)+前提・出典!$B$5</f>
        <v/>
      </c>
      <c r="D50" s="6">
        <f>C50+$B$6</f>
        <v/>
      </c>
      <c r="E50" s="6" t="n">
        <v>23167</v>
      </c>
      <c r="F50" s="6">
        <f>E50*(1+前提・出典!$B$2)+前提・出典!$B$5</f>
        <v/>
      </c>
      <c r="G50" s="6">
        <f>F50+$B$6</f>
        <v/>
      </c>
    </row>
    <row r="51">
      <c r="A51" t="n">
        <v>13.5</v>
      </c>
      <c r="B51" s="6" t="n">
        <v>22685</v>
      </c>
      <c r="C51" s="6">
        <f>B51*(1+前提・出典!$B$2)+前提・出典!$B$5</f>
        <v/>
      </c>
      <c r="D51" s="6">
        <f>C51+$B$6</f>
        <v/>
      </c>
      <c r="E51" s="6" t="n">
        <v>23932</v>
      </c>
      <c r="F51" s="6">
        <f>E51*(1+前提・出典!$B$2)+前提・出典!$B$5</f>
        <v/>
      </c>
      <c r="G51" s="6">
        <f>F51+$B$6</f>
        <v/>
      </c>
    </row>
    <row r="52">
      <c r="A52" t="n">
        <v>14</v>
      </c>
      <c r="B52" s="6" t="n">
        <v>23454</v>
      </c>
      <c r="C52" s="6">
        <f>B52*(1+前提・出典!$B$2)+前提・出典!$B$5</f>
        <v/>
      </c>
      <c r="D52" s="6">
        <f>C52+$B$6</f>
        <v/>
      </c>
      <c r="E52" s="6" t="n">
        <v>24926</v>
      </c>
      <c r="F52" s="6">
        <f>E52*(1+前提・出典!$B$2)+前提・出典!$B$5</f>
        <v/>
      </c>
      <c r="G52" s="6">
        <f>F52+$B$6</f>
        <v/>
      </c>
    </row>
    <row r="53">
      <c r="A53" t="n">
        <v>14.5</v>
      </c>
      <c r="B53" s="6" t="n">
        <v>23766</v>
      </c>
      <c r="C53" s="6">
        <f>B53*(1+前提・出典!$B$2)+前提・出典!$B$5</f>
        <v/>
      </c>
      <c r="D53" s="6">
        <f>C53+$B$6</f>
        <v/>
      </c>
      <c r="E53" s="6" t="n">
        <v>25464</v>
      </c>
      <c r="F53" s="6">
        <f>E53*(1+前提・出典!$B$2)+前提・出典!$B$5</f>
        <v/>
      </c>
      <c r="G53" s="6">
        <f>F53+$B$6</f>
        <v/>
      </c>
    </row>
    <row r="54">
      <c r="A54" t="n">
        <v>15</v>
      </c>
      <c r="B54" s="6" t="n">
        <v>24509</v>
      </c>
      <c r="C54" s="6">
        <f>B54*(1+前提・出典!$B$2)+前提・出典!$B$5</f>
        <v/>
      </c>
      <c r="D54" s="6">
        <f>C54+$B$6</f>
        <v/>
      </c>
      <c r="E54" s="6" t="n">
        <v>26555</v>
      </c>
      <c r="F54" s="6">
        <f>E54*(1+前提・出典!$B$2)+前提・出典!$B$5</f>
        <v/>
      </c>
      <c r="G54" s="6">
        <f>F54+$B$6</f>
        <v/>
      </c>
    </row>
    <row r="55">
      <c r="A55" t="n">
        <v>15.5</v>
      </c>
      <c r="B55" s="6" t="n">
        <v>25139</v>
      </c>
      <c r="C55" s="6">
        <f>B55*(1+前提・出典!$B$2)+前提・出典!$B$5</f>
        <v/>
      </c>
      <c r="D55" s="6">
        <f>C55+$B$6</f>
        <v/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</row>
    <row r="56">
      <c r="A56" t="n">
        <v>16</v>
      </c>
      <c r="B56" s="6" t="n">
        <v>26547</v>
      </c>
      <c r="C56" s="6">
        <f>B56*(1+前提・出典!$B$2)+前提・出典!$B$5</f>
        <v/>
      </c>
      <c r="D56" s="6">
        <f>C56+$B$6</f>
        <v/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</row>
    <row r="57">
      <c r="A57" t="n">
        <v>16.5</v>
      </c>
      <c r="B57" s="6" t="n">
        <v>27138</v>
      </c>
      <c r="C57" s="6">
        <f>B57*(1+前提・出典!$B$2)+前提・出典!$B$5</f>
        <v/>
      </c>
      <c r="D57" s="6">
        <f>C57+$B$6</f>
        <v/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</row>
    <row r="58">
      <c r="A58" t="n">
        <v>17</v>
      </c>
      <c r="B58" s="6" t="n">
        <v>27817</v>
      </c>
      <c r="C58" s="6">
        <f>B58*(1+前提・出典!$B$2)+前提・出典!$B$5</f>
        <v/>
      </c>
      <c r="D58" s="6">
        <f>C58+$B$6</f>
        <v/>
      </c>
      <c r="E58" s="9" t="inlineStr">
        <is>
          <t>-</t>
        </is>
      </c>
      <c r="F58" s="9" t="inlineStr">
        <is>
          <t>-</t>
        </is>
      </c>
      <c r="G58" s="9" t="inlineStr">
        <is>
          <t>-</t>
        </is>
      </c>
    </row>
    <row r="59">
      <c r="A59" t="n">
        <v>17.5</v>
      </c>
      <c r="B59" s="6" t="n">
        <v>28478</v>
      </c>
      <c r="C59" s="6">
        <f>B59*(1+前提・出典!$B$2)+前提・出典!$B$5</f>
        <v/>
      </c>
      <c r="D59" s="6">
        <f>C59+$B$6</f>
        <v/>
      </c>
      <c r="E59" s="9" t="inlineStr">
        <is>
          <t>-</t>
        </is>
      </c>
      <c r="F59" s="9" t="inlineStr">
        <is>
          <t>-</t>
        </is>
      </c>
      <c r="G59" s="9" t="inlineStr">
        <is>
          <t>-</t>
        </is>
      </c>
    </row>
    <row r="60">
      <c r="A60" t="n">
        <v>18</v>
      </c>
      <c r="B60" s="6" t="n">
        <v>29144</v>
      </c>
      <c r="C60" s="6">
        <f>B60*(1+前提・出典!$B$2)+前提・出典!$B$5</f>
        <v/>
      </c>
      <c r="D60" s="6">
        <f>C60+$B$6</f>
        <v/>
      </c>
      <c r="E60" s="9" t="inlineStr">
        <is>
          <t>-</t>
        </is>
      </c>
      <c r="F60" s="9" t="inlineStr">
        <is>
          <t>-</t>
        </is>
      </c>
      <c r="G60" s="9" t="inlineStr">
        <is>
          <t>-</t>
        </is>
      </c>
    </row>
    <row r="61">
      <c r="A61" t="n">
        <v>18.5</v>
      </c>
      <c r="B61" s="6" t="n">
        <v>29687</v>
      </c>
      <c r="C61" s="6">
        <f>B61*(1+前提・出典!$B$2)+前提・出典!$B$5</f>
        <v/>
      </c>
      <c r="D61" s="6">
        <f>C61+$B$6</f>
        <v/>
      </c>
      <c r="E61" s="9" t="inlineStr">
        <is>
          <t>-</t>
        </is>
      </c>
      <c r="F61" s="9" t="inlineStr">
        <is>
          <t>-</t>
        </is>
      </c>
      <c r="G61" s="9" t="inlineStr">
        <is>
          <t>-</t>
        </is>
      </c>
    </row>
    <row r="62">
      <c r="A62" t="n">
        <v>19</v>
      </c>
      <c r="B62" s="6" t="n">
        <v>30372</v>
      </c>
      <c r="C62" s="6">
        <f>B62*(1+前提・出典!$B$2)+前提・出典!$B$5</f>
        <v/>
      </c>
      <c r="D62" s="6">
        <f>C62+$B$6</f>
        <v/>
      </c>
      <c r="E62" s="9" t="inlineStr">
        <is>
          <t>-</t>
        </is>
      </c>
      <c r="F62" s="9" t="inlineStr">
        <is>
          <t>-</t>
        </is>
      </c>
      <c r="G62" s="9" t="inlineStr">
        <is>
          <t>-</t>
        </is>
      </c>
    </row>
    <row r="63">
      <c r="A63" t="n">
        <v>19.5</v>
      </c>
      <c r="B63" s="6" t="n">
        <v>31062</v>
      </c>
      <c r="C63" s="6">
        <f>B63*(1+前提・出典!$B$2)+前提・出典!$B$5</f>
        <v/>
      </c>
      <c r="D63" s="6">
        <f>C63+$B$6</f>
        <v/>
      </c>
      <c r="E63" s="9" t="inlineStr">
        <is>
          <t>-</t>
        </is>
      </c>
      <c r="F63" s="9" t="inlineStr">
        <is>
          <t>-</t>
        </is>
      </c>
      <c r="G63" s="9" t="inlineStr">
        <is>
          <t>-</t>
        </is>
      </c>
    </row>
    <row r="64">
      <c r="A64" t="n">
        <v>20</v>
      </c>
      <c r="B64" s="6" t="n">
        <v>32016</v>
      </c>
      <c r="C64" s="6">
        <f>B64*(1+前提・出典!$B$2)+前提・出典!$B$5</f>
        <v/>
      </c>
      <c r="D64" s="6">
        <f>C64+$B$6</f>
        <v/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</row>
    <row r="65">
      <c r="A65" t="n">
        <v>20.5</v>
      </c>
      <c r="B65" s="6" t="n">
        <v>32683</v>
      </c>
      <c r="C65" s="6">
        <f>B65*(1+前提・出典!$B$2)+前提・出典!$B$5</f>
        <v/>
      </c>
      <c r="D65" s="6">
        <f>C65+$B$6</f>
        <v/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</row>
    <row r="66">
      <c r="A66" t="n">
        <v>21</v>
      </c>
      <c r="B66" s="6" t="n">
        <v>33410</v>
      </c>
      <c r="C66" s="6">
        <f>B66*(1+前提・出典!$B$2)+前提・出典!$B$5</f>
        <v/>
      </c>
      <c r="D66" s="6">
        <f>C66+$B$6</f>
        <v/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</row>
    <row r="67">
      <c r="A67" t="n">
        <v>21.5</v>
      </c>
      <c r="B67" s="6" t="n">
        <v>34089</v>
      </c>
      <c r="C67" s="6">
        <f>B67*(1+前提・出典!$B$2)+前提・出典!$B$5</f>
        <v/>
      </c>
      <c r="D67" s="6">
        <f>C67+$B$6</f>
        <v/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</row>
    <row r="68">
      <c r="A68" t="n">
        <v>22</v>
      </c>
      <c r="B68" s="6" t="n">
        <v>34762</v>
      </c>
      <c r="C68" s="6">
        <f>B68*(1+前提・出典!$B$2)+前提・出典!$B$5</f>
        <v/>
      </c>
      <c r="D68" s="6">
        <f>C68+$B$6</f>
        <v/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</row>
    <row r="69">
      <c r="A69" t="n">
        <v>22.5</v>
      </c>
      <c r="B69" s="6" t="n">
        <v>35463</v>
      </c>
      <c r="C69" s="6">
        <f>B69*(1+前提・出典!$B$2)+前提・出典!$B$5</f>
        <v/>
      </c>
      <c r="D69" s="6">
        <f>C69+$B$6</f>
        <v/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</row>
    <row r="70">
      <c r="A70" t="n">
        <v>23</v>
      </c>
      <c r="B70" s="6" t="n">
        <v>36325</v>
      </c>
      <c r="C70" s="6">
        <f>B70*(1+前提・出典!$B$2)+前提・出典!$B$5</f>
        <v/>
      </c>
      <c r="D70" s="6">
        <f>C70+$B$6</f>
        <v/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</row>
    <row r="71">
      <c r="A71" t="n">
        <v>23.5</v>
      </c>
      <c r="B71" s="6" t="n">
        <v>36860</v>
      </c>
      <c r="C71" s="6">
        <f>B71*(1+前提・出典!$B$2)+前提・出典!$B$5</f>
        <v/>
      </c>
      <c r="D71" s="6">
        <f>C71+$B$6</f>
        <v/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</row>
    <row r="72">
      <c r="A72" t="n">
        <v>24</v>
      </c>
      <c r="B72" s="6" t="n">
        <v>37421</v>
      </c>
      <c r="C72" s="6">
        <f>B72*(1+前提・出典!$B$2)+前提・出典!$B$5</f>
        <v/>
      </c>
      <c r="D72" s="6">
        <f>C72+$B$6</f>
        <v/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</row>
    <row r="73">
      <c r="A73" t="n">
        <v>24.5</v>
      </c>
      <c r="B73" s="6" t="n">
        <v>38077</v>
      </c>
      <c r="C73" s="6">
        <f>B73*(1+前提・出典!$B$2)+前提・出典!$B$5</f>
        <v/>
      </c>
      <c r="D73" s="6">
        <f>C73+$B$6</f>
        <v/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</row>
    <row r="74">
      <c r="A74" t="n">
        <v>25</v>
      </c>
      <c r="B74" s="6" t="n">
        <v>38625</v>
      </c>
      <c r="C74" s="6">
        <f>B74*(1+前提・出典!$B$2)+前提・出典!$B$5</f>
        <v/>
      </c>
      <c r="D74" s="6">
        <f>C74+$B$6</f>
        <v/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7" t="inlineStr">
        <is>
          <t>イギリス向け料金表（円・SpeedPAK Economy）。合計＝基本送料×(1+燃油12%)。他の固定手数料なし。£135以下のVATはeBayがバイヤーから徴収。出典: 料金ガイドp.10</t>
        </is>
      </c>
    </row>
    <row r="2">
      <c r="A2" s="5" t="inlineStr">
        <is>
          <t>重量kg最大</t>
        </is>
      </c>
      <c r="B2" s="5" t="inlineStr">
        <is>
          <t>基本送料</t>
        </is>
      </c>
      <c r="C2" s="5" t="inlineStr">
        <is>
          <t>合計（燃油込み）</t>
        </is>
      </c>
    </row>
    <row r="3">
      <c r="A3" t="n">
        <v>0.1</v>
      </c>
      <c r="B3" s="6" t="n">
        <v>885</v>
      </c>
      <c r="C3" s="6">
        <f>B3*(1+前提・出典!$B$2)</f>
        <v/>
      </c>
    </row>
    <row r="4">
      <c r="A4" t="n">
        <v>0.2</v>
      </c>
      <c r="B4" s="6" t="n">
        <v>1012</v>
      </c>
      <c r="C4" s="6">
        <f>B4*(1+前提・出典!$B$2)</f>
        <v/>
      </c>
    </row>
    <row r="5">
      <c r="A5" t="n">
        <v>0.3</v>
      </c>
      <c r="B5" s="6" t="n">
        <v>1173</v>
      </c>
      <c r="C5" s="6">
        <f>B5*(1+前提・出典!$B$2)</f>
        <v/>
      </c>
    </row>
    <row r="6">
      <c r="A6" t="n">
        <v>0.4</v>
      </c>
      <c r="B6" s="6" t="n">
        <v>1349</v>
      </c>
      <c r="C6" s="6">
        <f>B6*(1+前提・出典!$B$2)</f>
        <v/>
      </c>
    </row>
    <row r="7">
      <c r="A7" t="n">
        <v>0.5</v>
      </c>
      <c r="B7" s="6" t="n">
        <v>1482</v>
      </c>
      <c r="C7" s="6">
        <f>B7*(1+前提・出典!$B$2)</f>
        <v/>
      </c>
    </row>
    <row r="8">
      <c r="A8" t="n">
        <v>0.6</v>
      </c>
      <c r="B8" s="6" t="n">
        <v>1606</v>
      </c>
      <c r="C8" s="6">
        <f>B8*(1+前提・出典!$B$2)</f>
        <v/>
      </c>
    </row>
    <row r="9">
      <c r="A9" t="n">
        <v>0.7</v>
      </c>
      <c r="B9" s="6" t="n">
        <v>1746</v>
      </c>
      <c r="C9" s="6">
        <f>B9*(1+前提・出典!$B$2)</f>
        <v/>
      </c>
    </row>
    <row r="10">
      <c r="A10" t="n">
        <v>0.8</v>
      </c>
      <c r="B10" s="6" t="n">
        <v>1856</v>
      </c>
      <c r="C10" s="6">
        <f>B10*(1+前提・出典!$B$2)</f>
        <v/>
      </c>
    </row>
    <row r="11">
      <c r="A11" t="n">
        <v>0.9</v>
      </c>
      <c r="B11" s="6" t="n">
        <v>2000</v>
      </c>
      <c r="C11" s="6">
        <f>B11*(1+前提・出典!$B$2)</f>
        <v/>
      </c>
    </row>
    <row r="12">
      <c r="A12" t="n">
        <v>1</v>
      </c>
      <c r="B12" s="6" t="n">
        <v>2113</v>
      </c>
      <c r="C12" s="6">
        <f>B12*(1+前提・出典!$B$2)</f>
        <v/>
      </c>
    </row>
    <row r="13">
      <c r="A13" t="n">
        <v>1.1</v>
      </c>
      <c r="B13" s="6" t="n">
        <v>2274</v>
      </c>
      <c r="C13" s="6">
        <f>B13*(1+前提・出典!$B$2)</f>
        <v/>
      </c>
    </row>
    <row r="14">
      <c r="A14" t="n">
        <v>1.2</v>
      </c>
      <c r="B14" s="6" t="n">
        <v>2407</v>
      </c>
      <c r="C14" s="6">
        <f>B14*(1+前提・出典!$B$2)</f>
        <v/>
      </c>
    </row>
    <row r="15">
      <c r="A15" t="n">
        <v>1.3</v>
      </c>
      <c r="B15" s="6" t="n">
        <v>2537</v>
      </c>
      <c r="C15" s="6">
        <f>B15*(1+前提・出典!$B$2)</f>
        <v/>
      </c>
    </row>
    <row r="16">
      <c r="A16" t="n">
        <v>1.4</v>
      </c>
      <c r="B16" s="6" t="n">
        <v>2651</v>
      </c>
      <c r="C16" s="6">
        <f>B16*(1+前提・出典!$B$2)</f>
        <v/>
      </c>
    </row>
    <row r="17">
      <c r="A17" t="n">
        <v>1.5</v>
      </c>
      <c r="B17" s="6" t="n">
        <v>2779</v>
      </c>
      <c r="C17" s="6">
        <f>B17*(1+前提・出典!$B$2)</f>
        <v/>
      </c>
    </row>
    <row r="18">
      <c r="A18" t="n">
        <v>1.6</v>
      </c>
      <c r="B18" s="6" t="n">
        <v>2893</v>
      </c>
      <c r="C18" s="6">
        <f>B18*(1+前提・出典!$B$2)</f>
        <v/>
      </c>
    </row>
    <row r="19">
      <c r="A19" t="n">
        <v>1.7</v>
      </c>
      <c r="B19" s="6" t="n">
        <v>3050</v>
      </c>
      <c r="C19" s="6">
        <f>B19*(1+前提・出典!$B$2)</f>
        <v/>
      </c>
    </row>
    <row r="20">
      <c r="A20" t="n">
        <v>1.8</v>
      </c>
      <c r="B20" s="6" t="n">
        <v>3166</v>
      </c>
      <c r="C20" s="6">
        <f>B20*(1+前提・出典!$B$2)</f>
        <v/>
      </c>
    </row>
    <row r="21">
      <c r="A21" t="n">
        <v>1.9</v>
      </c>
      <c r="B21" s="6" t="n">
        <v>3298</v>
      </c>
      <c r="C21" s="6">
        <f>B21*(1+前提・出典!$B$2)</f>
        <v/>
      </c>
    </row>
    <row r="22">
      <c r="A22" t="n">
        <v>2</v>
      </c>
      <c r="B22" s="6" t="n">
        <v>3414</v>
      </c>
      <c r="C22" s="6">
        <f>B22*(1+前提・出典!$B$2)</f>
        <v/>
      </c>
    </row>
    <row r="23">
      <c r="A23" t="n">
        <v>2.5</v>
      </c>
      <c r="B23" s="6" t="n">
        <v>4152</v>
      </c>
      <c r="C23" s="6">
        <f>B23*(1+前提・出典!$B$2)</f>
        <v/>
      </c>
    </row>
    <row r="24">
      <c r="A24" t="n">
        <v>3</v>
      </c>
      <c r="B24" s="6" t="n">
        <v>4805</v>
      </c>
      <c r="C24" s="6">
        <f>B24*(1+前提・出典!$B$2)</f>
        <v/>
      </c>
    </row>
    <row r="25">
      <c r="A25" t="n">
        <v>3.5</v>
      </c>
      <c r="B25" s="6" t="n">
        <v>5432</v>
      </c>
      <c r="C25" s="6">
        <f>B25*(1+前提・出典!$B$2)</f>
        <v/>
      </c>
    </row>
    <row r="26">
      <c r="A26" t="n">
        <v>4</v>
      </c>
      <c r="B26" s="6" t="n">
        <v>6047</v>
      </c>
      <c r="C26" s="6">
        <f>B26*(1+前提・出典!$B$2)</f>
        <v/>
      </c>
    </row>
    <row r="27">
      <c r="A27" t="n">
        <v>4.5</v>
      </c>
      <c r="B27" s="6" t="n">
        <v>6676</v>
      </c>
      <c r="C27" s="6">
        <f>B27*(1+前提・出典!$B$2)</f>
        <v/>
      </c>
    </row>
    <row r="28">
      <c r="A28" t="n">
        <v>5</v>
      </c>
      <c r="B28" s="6" t="n">
        <v>7366</v>
      </c>
      <c r="C28" s="6">
        <f>B28*(1+前提・出典!$B$2)</f>
        <v/>
      </c>
    </row>
    <row r="29">
      <c r="A29" t="n">
        <v>5.5</v>
      </c>
      <c r="B29" s="6" t="n">
        <v>8001</v>
      </c>
      <c r="C29" s="6">
        <f>B29*(1+前提・出典!$B$2)</f>
        <v/>
      </c>
    </row>
    <row r="30">
      <c r="A30" t="n">
        <v>6</v>
      </c>
      <c r="B30" s="6" t="n">
        <v>8622</v>
      </c>
      <c r="C30" s="6">
        <f>B30*(1+前提・出典!$B$2)</f>
        <v/>
      </c>
    </row>
    <row r="31">
      <c r="A31" t="n">
        <v>6.5</v>
      </c>
      <c r="B31" s="6" t="n">
        <v>9257</v>
      </c>
      <c r="C31" s="6">
        <f>B31*(1+前提・出典!$B$2)</f>
        <v/>
      </c>
    </row>
    <row r="32">
      <c r="A32" t="n">
        <v>7</v>
      </c>
      <c r="B32" s="6" t="n">
        <v>9879</v>
      </c>
      <c r="C32" s="6">
        <f>B32*(1+前提・出典!$B$2)</f>
        <v/>
      </c>
    </row>
    <row r="33">
      <c r="A33" t="n">
        <v>7.5</v>
      </c>
      <c r="B33" s="6" t="n">
        <v>10515</v>
      </c>
      <c r="C33" s="6">
        <f>B33*(1+前提・出典!$B$2)</f>
        <v/>
      </c>
    </row>
    <row r="34">
      <c r="A34" t="n">
        <v>8</v>
      </c>
      <c r="B34" s="6" t="n">
        <v>11137</v>
      </c>
      <c r="C34" s="6">
        <f>B34*(1+前提・出典!$B$2)</f>
        <v/>
      </c>
    </row>
    <row r="35">
      <c r="A35" t="n">
        <v>8.5</v>
      </c>
      <c r="B35" s="6" t="n">
        <v>11773</v>
      </c>
      <c r="C35" s="6">
        <f>B35*(1+前提・出典!$B$2)</f>
        <v/>
      </c>
    </row>
    <row r="36">
      <c r="A36" t="n">
        <v>9</v>
      </c>
      <c r="B36" s="6" t="n">
        <v>12393</v>
      </c>
      <c r="C36" s="6">
        <f>B36*(1+前提・出典!$B$2)</f>
        <v/>
      </c>
    </row>
    <row r="37">
      <c r="A37" t="n">
        <v>9.5</v>
      </c>
      <c r="B37" s="6" t="n">
        <v>13029</v>
      </c>
      <c r="C37" s="6">
        <f>B37*(1+前提・出典!$B$2)</f>
        <v/>
      </c>
    </row>
    <row r="38">
      <c r="A38" t="n">
        <v>10</v>
      </c>
      <c r="B38" s="6" t="n">
        <v>13651</v>
      </c>
      <c r="C38" s="6">
        <f>B38*(1+前提・出典!$B$2)</f>
        <v/>
      </c>
    </row>
    <row r="39">
      <c r="A39" t="n">
        <v>10.5</v>
      </c>
      <c r="B39" s="6" t="n">
        <v>14286</v>
      </c>
      <c r="C39" s="6">
        <f>B39*(1+前提・出典!$B$2)</f>
        <v/>
      </c>
    </row>
    <row r="40">
      <c r="A40" t="n">
        <v>11</v>
      </c>
      <c r="B40" s="6" t="n">
        <v>14908</v>
      </c>
      <c r="C40" s="6">
        <f>B40*(1+前提・出典!$B$2)</f>
        <v/>
      </c>
    </row>
    <row r="41">
      <c r="A41" t="n">
        <v>11.5</v>
      </c>
      <c r="B41" s="6" t="n">
        <v>15544</v>
      </c>
      <c r="C41" s="6">
        <f>B41*(1+前提・出典!$B$2)</f>
        <v/>
      </c>
    </row>
    <row r="42">
      <c r="A42" t="n">
        <v>12</v>
      </c>
      <c r="B42" s="6" t="n">
        <v>16165</v>
      </c>
      <c r="C42" s="6">
        <f>B42*(1+前提・出典!$B$2)</f>
        <v/>
      </c>
    </row>
    <row r="43">
      <c r="A43" t="n">
        <v>12.5</v>
      </c>
      <c r="B43" s="6" t="n">
        <v>16800</v>
      </c>
      <c r="C43" s="6">
        <f>B43*(1+前提・出典!$B$2)</f>
        <v/>
      </c>
    </row>
    <row r="44">
      <c r="A44" t="n">
        <v>13</v>
      </c>
      <c r="B44" s="6" t="n">
        <v>17421</v>
      </c>
      <c r="C44" s="6">
        <f>B44*(1+前提・出典!$B$2)</f>
        <v/>
      </c>
    </row>
    <row r="45">
      <c r="A45" t="n">
        <v>13.5</v>
      </c>
      <c r="B45" s="6" t="n">
        <v>18058</v>
      </c>
      <c r="C45" s="6">
        <f>B45*(1+前提・出典!$B$2)</f>
        <v/>
      </c>
    </row>
    <row r="46">
      <c r="A46" t="n">
        <v>14</v>
      </c>
      <c r="B46" s="6" t="n">
        <v>18679</v>
      </c>
      <c r="C46" s="6">
        <f>B46*(1+前提・出典!$B$2)</f>
        <v/>
      </c>
    </row>
    <row r="47">
      <c r="A47" t="n">
        <v>14.5</v>
      </c>
      <c r="B47" s="6" t="n">
        <v>19519</v>
      </c>
      <c r="C47" s="6">
        <f>B47*(1+前提・出典!$B$2)</f>
        <v/>
      </c>
    </row>
    <row r="48">
      <c r="A48" t="n">
        <v>15</v>
      </c>
      <c r="B48" s="6" t="n">
        <v>20147</v>
      </c>
      <c r="C48" s="6">
        <f>B48*(1+前提・出典!$B$2)</f>
        <v/>
      </c>
    </row>
    <row r="49">
      <c r="A49" t="n">
        <v>15.5</v>
      </c>
      <c r="B49" s="6" t="n">
        <v>20789</v>
      </c>
      <c r="C49" s="6">
        <f>B49*(1+前提・出典!$B$2)</f>
        <v/>
      </c>
    </row>
    <row r="50">
      <c r="A50" t="n">
        <v>16</v>
      </c>
      <c r="B50" s="6" t="n">
        <v>21418</v>
      </c>
      <c r="C50" s="6">
        <f>B50*(1+前提・出典!$B$2)</f>
        <v/>
      </c>
    </row>
    <row r="51">
      <c r="A51" t="n">
        <v>16.5</v>
      </c>
      <c r="B51" s="6" t="n">
        <v>22061</v>
      </c>
      <c r="C51" s="6">
        <f>B51*(1+前提・出典!$B$2)</f>
        <v/>
      </c>
    </row>
    <row r="52">
      <c r="A52" t="n">
        <v>17</v>
      </c>
      <c r="B52" s="6" t="n">
        <v>22689</v>
      </c>
      <c r="C52" s="6">
        <f>B52*(1+前提・出典!$B$2)</f>
        <v/>
      </c>
    </row>
    <row r="53">
      <c r="A53" t="n">
        <v>17.5</v>
      </c>
      <c r="B53" s="6" t="n">
        <v>23332</v>
      </c>
      <c r="C53" s="6">
        <f>B53*(1+前提・出典!$B$2)</f>
        <v/>
      </c>
    </row>
    <row r="54">
      <c r="A54" t="n">
        <v>18</v>
      </c>
      <c r="B54" s="6" t="n">
        <v>23959</v>
      </c>
      <c r="C54" s="6">
        <f>B54*(1+前提・出典!$B$2)</f>
        <v/>
      </c>
    </row>
    <row r="55">
      <c r="A55" t="n">
        <v>18.5</v>
      </c>
      <c r="B55" s="6" t="n">
        <v>24602</v>
      </c>
      <c r="C55" s="6">
        <f>B55*(1+前提・出典!$B$2)</f>
        <v/>
      </c>
    </row>
    <row r="56">
      <c r="A56" t="n">
        <v>19</v>
      </c>
      <c r="B56" s="6" t="n">
        <v>25230</v>
      </c>
      <c r="C56" s="6">
        <f>B56*(1+前提・出典!$B$2)</f>
        <v/>
      </c>
    </row>
    <row r="57">
      <c r="A57" t="n">
        <v>19.5</v>
      </c>
      <c r="B57" s="6" t="n">
        <v>25873</v>
      </c>
      <c r="C57" s="6">
        <f>B57*(1+前提・出典!$B$2)</f>
        <v/>
      </c>
    </row>
    <row r="58">
      <c r="A58" t="n">
        <v>20</v>
      </c>
      <c r="B58" s="6" t="n">
        <v>26501</v>
      </c>
      <c r="C58" s="6">
        <f>B58*(1+前提・出典!$B$2)</f>
        <v/>
      </c>
    </row>
    <row r="59">
      <c r="A59" t="n">
        <v>20.5</v>
      </c>
      <c r="B59" s="6" t="n">
        <v>27145</v>
      </c>
      <c r="C59" s="6">
        <f>B59*(1+前提・出典!$B$2)</f>
        <v/>
      </c>
    </row>
    <row r="60">
      <c r="A60" t="n">
        <v>21</v>
      </c>
      <c r="B60" s="6" t="n">
        <v>27773</v>
      </c>
      <c r="C60" s="6">
        <f>B60*(1+前提・出典!$B$2)</f>
        <v/>
      </c>
    </row>
    <row r="61">
      <c r="A61" t="n">
        <v>21.5</v>
      </c>
      <c r="B61" s="6" t="n">
        <v>28415</v>
      </c>
      <c r="C61" s="6">
        <f>B61*(1+前提・出典!$B$2)</f>
        <v/>
      </c>
    </row>
    <row r="62">
      <c r="A62" t="n">
        <v>22</v>
      </c>
      <c r="B62" s="6" t="n">
        <v>29042</v>
      </c>
      <c r="C62" s="6">
        <f>B62*(1+前提・出典!$B$2)</f>
        <v/>
      </c>
    </row>
    <row r="63">
      <c r="A63" t="n">
        <v>22.5</v>
      </c>
      <c r="B63" s="6" t="n">
        <v>31873</v>
      </c>
      <c r="C63" s="6">
        <f>B63*(1+前提・出典!$B$2)</f>
        <v/>
      </c>
    </row>
    <row r="64">
      <c r="A64" t="n">
        <v>23</v>
      </c>
      <c r="B64" s="6" t="n">
        <v>32548</v>
      </c>
      <c r="C64" s="6">
        <f>B64*(1+前提・出典!$B$2)</f>
        <v/>
      </c>
    </row>
    <row r="65">
      <c r="A65" t="n">
        <v>23.5</v>
      </c>
      <c r="B65" s="6" t="n">
        <v>33240</v>
      </c>
      <c r="C65" s="6">
        <f>B65*(1+前提・出典!$B$2)</f>
        <v/>
      </c>
    </row>
    <row r="66">
      <c r="A66" t="n">
        <v>24</v>
      </c>
      <c r="B66" s="6" t="n">
        <v>33914</v>
      </c>
      <c r="C66" s="6">
        <f>B66*(1+前提・出典!$B$2)</f>
        <v/>
      </c>
    </row>
    <row r="67">
      <c r="A67" t="n">
        <v>24.5</v>
      </c>
      <c r="B67" s="6" t="n">
        <v>34605</v>
      </c>
      <c r="C67" s="6">
        <f>B67*(1+前提・出典!$B$2)</f>
        <v/>
      </c>
    </row>
    <row r="68">
      <c r="A68" t="n">
        <v>25</v>
      </c>
      <c r="B68" s="6" t="n">
        <v>35282</v>
      </c>
      <c r="C68" s="6">
        <f>B68*(1+前提・出典!$B$2)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7" t="inlineStr">
        <is>
          <t>オーストラリア向け料金表（円・SpeedPAK Economy）。合計＝基本送料×(1+燃油12%)。通常時の固定手数料なし（検疫等はAUD1,000超や検査時のみ）。AUD1,000以下のGSTはeBayが徴収。出典: 料金ガイドp.17</t>
        </is>
      </c>
    </row>
    <row r="2">
      <c r="A2" s="5" t="inlineStr">
        <is>
          <t>重量kg最大</t>
        </is>
      </c>
      <c r="B2" s="5" t="inlineStr">
        <is>
          <t>基本送料</t>
        </is>
      </c>
      <c r="C2" s="5" t="inlineStr">
        <is>
          <t>合計（燃油込み）</t>
        </is>
      </c>
    </row>
    <row r="3">
      <c r="A3" t="n">
        <v>0.1</v>
      </c>
      <c r="B3" s="6" t="n">
        <v>1077</v>
      </c>
      <c r="C3" s="6">
        <f>B3*(1+前提・出典!$B$2)</f>
        <v/>
      </c>
    </row>
    <row r="4">
      <c r="A4" t="n">
        <v>0.2</v>
      </c>
      <c r="B4" s="6" t="n">
        <v>1247</v>
      </c>
      <c r="C4" s="6">
        <f>B4*(1+前提・出典!$B$2)</f>
        <v/>
      </c>
    </row>
    <row r="5">
      <c r="A5" t="n">
        <v>0.3</v>
      </c>
      <c r="B5" s="6" t="n">
        <v>1422</v>
      </c>
      <c r="C5" s="6">
        <f>B5*(1+前提・出典!$B$2)</f>
        <v/>
      </c>
    </row>
    <row r="6">
      <c r="A6" t="n">
        <v>0.4</v>
      </c>
      <c r="B6" s="6" t="n">
        <v>1451</v>
      </c>
      <c r="C6" s="6">
        <f>B6*(1+前提・出典!$B$2)</f>
        <v/>
      </c>
    </row>
    <row r="7">
      <c r="A7" t="n">
        <v>0.5</v>
      </c>
      <c r="B7" s="6" t="n">
        <v>1537</v>
      </c>
      <c r="C7" s="6">
        <f>B7*(1+前提・出典!$B$2)</f>
        <v/>
      </c>
    </row>
    <row r="8">
      <c r="A8" t="n">
        <v>0.6</v>
      </c>
      <c r="B8" s="6" t="n">
        <v>1709</v>
      </c>
      <c r="C8" s="6">
        <f>B8*(1+前提・出典!$B$2)</f>
        <v/>
      </c>
    </row>
    <row r="9">
      <c r="A9" t="n">
        <v>0.7</v>
      </c>
      <c r="B9" s="6" t="n">
        <v>1742</v>
      </c>
      <c r="C9" s="6">
        <f>B9*(1+前提・出典!$B$2)</f>
        <v/>
      </c>
    </row>
    <row r="10">
      <c r="A10" t="n">
        <v>0.8</v>
      </c>
      <c r="B10" s="6" t="n">
        <v>1883</v>
      </c>
      <c r="C10" s="6">
        <f>B10*(1+前提・出典!$B$2)</f>
        <v/>
      </c>
    </row>
    <row r="11">
      <c r="A11" t="n">
        <v>0.9</v>
      </c>
      <c r="B11" s="6" t="n">
        <v>1950</v>
      </c>
      <c r="C11" s="6">
        <f>B11*(1+前提・出典!$B$2)</f>
        <v/>
      </c>
    </row>
    <row r="12">
      <c r="A12" t="n">
        <v>1</v>
      </c>
      <c r="B12" s="6" t="n">
        <v>1950</v>
      </c>
      <c r="C12" s="6">
        <f>B12*(1+前提・出典!$B$2)</f>
        <v/>
      </c>
    </row>
    <row r="13">
      <c r="A13" t="n">
        <v>1.1</v>
      </c>
      <c r="B13" s="6" t="n">
        <v>2017</v>
      </c>
      <c r="C13" s="6">
        <f>B13*(1+前提・出典!$B$2)</f>
        <v/>
      </c>
    </row>
    <row r="14">
      <c r="A14" t="n">
        <v>1.2</v>
      </c>
      <c r="B14" s="6" t="n">
        <v>2050</v>
      </c>
      <c r="C14" s="6">
        <f>B14*(1+前提・出典!$B$2)</f>
        <v/>
      </c>
    </row>
    <row r="15">
      <c r="A15" t="n">
        <v>1.3</v>
      </c>
      <c r="B15" s="6" t="n">
        <v>2083</v>
      </c>
      <c r="C15" s="6">
        <f>B15*(1+前提・出典!$B$2)</f>
        <v/>
      </c>
    </row>
    <row r="16">
      <c r="A16" t="n">
        <v>1.4</v>
      </c>
      <c r="B16" s="6" t="n">
        <v>2322</v>
      </c>
      <c r="C16" s="6">
        <f>B16*(1+前提・出典!$B$2)</f>
        <v/>
      </c>
    </row>
    <row r="17">
      <c r="A17" t="n">
        <v>1.5</v>
      </c>
      <c r="B17" s="6" t="n">
        <v>2322</v>
      </c>
      <c r="C17" s="6">
        <f>B17*(1+前提・出典!$B$2)</f>
        <v/>
      </c>
    </row>
    <row r="18">
      <c r="A18" t="n">
        <v>1.6</v>
      </c>
      <c r="B18" s="6" t="n">
        <v>2322</v>
      </c>
      <c r="C18" s="6">
        <f>B18*(1+前提・出典!$B$2)</f>
        <v/>
      </c>
    </row>
    <row r="19">
      <c r="A19" t="n">
        <v>1.7</v>
      </c>
      <c r="B19" s="6" t="n">
        <v>2322</v>
      </c>
      <c r="C19" s="6">
        <f>B19*(1+前提・出典!$B$2)</f>
        <v/>
      </c>
    </row>
    <row r="20">
      <c r="A20" t="n">
        <v>1.8</v>
      </c>
      <c r="B20" s="6" t="n">
        <v>2569</v>
      </c>
      <c r="C20" s="6">
        <f>B20*(1+前提・出典!$B$2)</f>
        <v/>
      </c>
    </row>
    <row r="21">
      <c r="A21" t="n">
        <v>1.9</v>
      </c>
      <c r="B21" s="6" t="n">
        <v>2974</v>
      </c>
      <c r="C21" s="6">
        <f>B21*(1+前提・出典!$B$2)</f>
        <v/>
      </c>
    </row>
    <row r="22">
      <c r="A22" t="n">
        <v>2</v>
      </c>
      <c r="B22" s="6" t="n">
        <v>2974</v>
      </c>
      <c r="C22" s="6">
        <f>B22*(1+前提・出典!$B$2)</f>
        <v/>
      </c>
    </row>
    <row r="23">
      <c r="A23" t="n">
        <v>2.5</v>
      </c>
      <c r="B23" s="6" t="n">
        <v>2974</v>
      </c>
      <c r="C23" s="6">
        <f>B23*(1+前提・出典!$B$2)</f>
        <v/>
      </c>
    </row>
    <row r="24">
      <c r="A24" t="n">
        <v>3</v>
      </c>
      <c r="B24" s="6" t="n">
        <v>3307</v>
      </c>
      <c r="C24" s="6">
        <f>B24*(1+前提・出典!$B$2)</f>
        <v/>
      </c>
    </row>
    <row r="25">
      <c r="A25" t="n">
        <v>3.5</v>
      </c>
      <c r="B25" s="6" t="n">
        <v>3787</v>
      </c>
      <c r="C25" s="6">
        <f>B25*(1+前提・出典!$B$2)</f>
        <v/>
      </c>
    </row>
    <row r="26">
      <c r="A26" t="n">
        <v>4</v>
      </c>
      <c r="B26" s="6" t="n">
        <v>4120</v>
      </c>
      <c r="C26" s="6">
        <f>B26*(1+前提・出典!$B$2)</f>
        <v/>
      </c>
    </row>
    <row r="27">
      <c r="A27" t="n">
        <v>4.5</v>
      </c>
      <c r="B27" s="6" t="n">
        <v>4288</v>
      </c>
      <c r="C27" s="6">
        <f>B27*(1+前提・出典!$B$2)</f>
        <v/>
      </c>
    </row>
    <row r="28">
      <c r="A28" t="n">
        <v>5</v>
      </c>
      <c r="B28" s="6" t="n">
        <v>4989</v>
      </c>
      <c r="C28" s="6">
        <f>B28*(1+前提・出典!$B$2)</f>
        <v/>
      </c>
    </row>
    <row r="29">
      <c r="A29" t="n">
        <v>5.5</v>
      </c>
      <c r="B29" s="6" t="n">
        <v>5155</v>
      </c>
      <c r="C29" s="6">
        <f>B29*(1+前提・出典!$B$2)</f>
        <v/>
      </c>
    </row>
    <row r="30">
      <c r="A30" t="n">
        <v>6</v>
      </c>
      <c r="B30" s="6" t="n">
        <v>5489</v>
      </c>
      <c r="C30" s="6">
        <f>B30*(1+前提・出典!$B$2)</f>
        <v/>
      </c>
    </row>
    <row r="31">
      <c r="A31" t="n">
        <v>6.5</v>
      </c>
      <c r="B31" s="6" t="n">
        <v>5656</v>
      </c>
      <c r="C31" s="6">
        <f>B31*(1+前提・出典!$B$2)</f>
        <v/>
      </c>
    </row>
    <row r="32">
      <c r="A32" t="n">
        <v>7</v>
      </c>
      <c r="B32" s="6" t="n">
        <v>6580</v>
      </c>
      <c r="C32" s="6">
        <f>B32*(1+前提・出典!$B$2)</f>
        <v/>
      </c>
    </row>
    <row r="33">
      <c r="A33" t="n">
        <v>7.5</v>
      </c>
      <c r="B33" s="6" t="n">
        <v>6748</v>
      </c>
      <c r="C33" s="6">
        <f>B33*(1+前提・出典!$B$2)</f>
        <v/>
      </c>
    </row>
    <row r="34">
      <c r="A34" t="n">
        <v>8</v>
      </c>
      <c r="B34" s="6" t="n">
        <v>7082</v>
      </c>
      <c r="C34" s="6">
        <f>B34*(1+前提・出典!$B$2)</f>
        <v/>
      </c>
    </row>
    <row r="35">
      <c r="A35" t="n">
        <v>8.5</v>
      </c>
      <c r="B35" s="6" t="n">
        <v>7250</v>
      </c>
      <c r="C35" s="6">
        <f>B35*(1+前提・出典!$B$2)</f>
        <v/>
      </c>
    </row>
    <row r="36">
      <c r="A36" t="n">
        <v>9</v>
      </c>
      <c r="B36" s="6" t="n">
        <v>7584</v>
      </c>
      <c r="C36" s="6">
        <f>B36*(1+前提・出典!$B$2)</f>
        <v/>
      </c>
    </row>
    <row r="37">
      <c r="A37" t="n">
        <v>9.5</v>
      </c>
      <c r="B37" s="6" t="n">
        <v>7751</v>
      </c>
      <c r="C37" s="6">
        <f>B37*(1+前提・出典!$B$2)</f>
        <v/>
      </c>
    </row>
    <row r="38">
      <c r="A38" t="n">
        <v>10</v>
      </c>
      <c r="B38" s="6" t="n">
        <v>8085</v>
      </c>
      <c r="C38" s="6">
        <f>B38*(1+前提・出典!$B$2)</f>
        <v/>
      </c>
    </row>
    <row r="39">
      <c r="A39" t="n">
        <v>10.5</v>
      </c>
      <c r="B39" s="6" t="n">
        <v>8251</v>
      </c>
      <c r="C39" s="6">
        <f>B39*(1+前提・出典!$B$2)</f>
        <v/>
      </c>
    </row>
    <row r="40">
      <c r="A40" t="n">
        <v>11</v>
      </c>
      <c r="B40" s="6" t="n">
        <v>8586</v>
      </c>
      <c r="C40" s="6">
        <f>B40*(1+前提・出典!$B$2)</f>
        <v/>
      </c>
    </row>
    <row r="41">
      <c r="A41" t="n">
        <v>11.5</v>
      </c>
      <c r="B41" s="6" t="n">
        <v>8753</v>
      </c>
      <c r="C41" s="6">
        <f>B41*(1+前提・出典!$B$2)</f>
        <v/>
      </c>
    </row>
    <row r="42">
      <c r="A42" t="n">
        <v>12</v>
      </c>
      <c r="B42" s="6" t="n">
        <v>9088</v>
      </c>
      <c r="C42" s="6">
        <f>B42*(1+前提・出典!$B$2)</f>
        <v/>
      </c>
    </row>
    <row r="43">
      <c r="A43" t="n">
        <v>12.5</v>
      </c>
      <c r="B43" s="6" t="n">
        <v>9255</v>
      </c>
      <c r="C43" s="6">
        <f>B43*(1+前提・出典!$B$2)</f>
        <v/>
      </c>
    </row>
    <row r="44">
      <c r="A44" t="n">
        <v>13</v>
      </c>
      <c r="B44" s="6" t="n">
        <v>9589</v>
      </c>
      <c r="C44" s="6">
        <f>B44*(1+前提・出典!$B$2)</f>
        <v/>
      </c>
    </row>
    <row r="45">
      <c r="A45" t="n">
        <v>13.5</v>
      </c>
      <c r="B45" s="6" t="n">
        <v>9755</v>
      </c>
      <c r="C45" s="6">
        <f>B45*(1+前提・出典!$B$2)</f>
        <v/>
      </c>
    </row>
    <row r="46">
      <c r="A46" t="n">
        <v>14</v>
      </c>
      <c r="B46" s="6" t="n">
        <v>10091</v>
      </c>
      <c r="C46" s="6">
        <f>B46*(1+前提・出典!$B$2)</f>
        <v/>
      </c>
    </row>
    <row r="47">
      <c r="A47" t="n">
        <v>14.5</v>
      </c>
      <c r="B47" s="6" t="n">
        <v>10258</v>
      </c>
      <c r="C47" s="6">
        <f>B47*(1+前提・出典!$B$2)</f>
        <v/>
      </c>
    </row>
    <row r="48">
      <c r="A48" t="n">
        <v>15</v>
      </c>
      <c r="B48" s="6" t="n">
        <v>10591</v>
      </c>
      <c r="C48" s="6">
        <f>B48*(1+前提・出典!$B$2)</f>
        <v/>
      </c>
    </row>
    <row r="49">
      <c r="A49" t="n">
        <v>15.5</v>
      </c>
      <c r="B49" s="6" t="n">
        <v>10760</v>
      </c>
      <c r="C49" s="6">
        <f>B49*(1+前提・出典!$B$2)</f>
        <v/>
      </c>
    </row>
    <row r="50">
      <c r="A50" t="n">
        <v>16</v>
      </c>
      <c r="B50" s="6" t="n">
        <v>11093</v>
      </c>
      <c r="C50" s="6">
        <f>B50*(1+前提・出典!$B$2)</f>
        <v/>
      </c>
    </row>
    <row r="51">
      <c r="A51" t="n">
        <v>16.5</v>
      </c>
      <c r="B51" s="6" t="n">
        <v>11261</v>
      </c>
      <c r="C51" s="6">
        <f>B51*(1+前提・出典!$B$2)</f>
        <v/>
      </c>
    </row>
    <row r="52">
      <c r="A52" t="n">
        <v>17</v>
      </c>
      <c r="B52" s="6" t="n">
        <v>12808</v>
      </c>
      <c r="C52" s="6">
        <f>B52*(1+前提・出典!$B$2)</f>
        <v/>
      </c>
    </row>
    <row r="53">
      <c r="A53" t="n">
        <v>17.5</v>
      </c>
      <c r="B53" s="6" t="n">
        <v>12975</v>
      </c>
      <c r="C53" s="6">
        <f>B53*(1+前提・出典!$B$2)</f>
        <v/>
      </c>
    </row>
    <row r="54">
      <c r="A54" t="n">
        <v>18</v>
      </c>
      <c r="B54" s="6" t="n">
        <v>13309</v>
      </c>
      <c r="C54" s="6">
        <f>B54*(1+前提・出典!$B$2)</f>
        <v/>
      </c>
    </row>
    <row r="55">
      <c r="A55" t="n">
        <v>18.5</v>
      </c>
      <c r="B55" s="6" t="n">
        <v>13477</v>
      </c>
      <c r="C55" s="6">
        <f>B55*(1+前提・出典!$B$2)</f>
        <v/>
      </c>
    </row>
    <row r="56">
      <c r="A56" t="n">
        <v>19</v>
      </c>
      <c r="B56" s="6" t="n">
        <v>13811</v>
      </c>
      <c r="C56" s="6">
        <f>B56*(1+前提・出典!$B$2)</f>
        <v/>
      </c>
    </row>
    <row r="57">
      <c r="A57" t="n">
        <v>19.5</v>
      </c>
      <c r="B57" s="6" t="n">
        <v>13978</v>
      </c>
      <c r="C57" s="6">
        <f>B57*(1+前提・出典!$B$2)</f>
        <v/>
      </c>
    </row>
    <row r="58">
      <c r="A58" t="n">
        <v>20</v>
      </c>
      <c r="B58" s="6" t="n">
        <v>14313</v>
      </c>
      <c r="C58" s="6">
        <f>B58*(1+前提・出典!$B$2)</f>
        <v/>
      </c>
    </row>
    <row r="59">
      <c r="A59" t="n">
        <v>20.5</v>
      </c>
      <c r="B59" s="6" t="n">
        <v>14313</v>
      </c>
      <c r="C59" s="6">
        <f>B59*(1+前提・出典!$B$2)</f>
        <v/>
      </c>
    </row>
    <row r="60">
      <c r="A60" t="n">
        <v>21</v>
      </c>
      <c r="B60" s="6" t="n">
        <v>14313</v>
      </c>
      <c r="C60" s="6">
        <f>B60*(1+前提・出典!$B$2)</f>
        <v/>
      </c>
    </row>
    <row r="61">
      <c r="A61" t="n">
        <v>21.5</v>
      </c>
      <c r="B61" s="6" t="n">
        <v>14313</v>
      </c>
      <c r="C61" s="6">
        <f>B61*(1+前提・出典!$B$2)</f>
        <v/>
      </c>
    </row>
    <row r="62">
      <c r="A62" t="n">
        <v>22</v>
      </c>
      <c r="B62" s="6" t="n">
        <v>14553</v>
      </c>
      <c r="C62" s="6">
        <f>B62*(1+前提・出典!$B$2)</f>
        <v/>
      </c>
    </row>
    <row r="63">
      <c r="A63" t="n">
        <v>22.5</v>
      </c>
      <c r="B63" s="6" t="n">
        <v>14871</v>
      </c>
      <c r="C63" s="6">
        <f>B63*(1+前提・出典!$B$2)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5" t="inlineStr">
        <is>
          <t>項目</t>
        </is>
      </c>
      <c r="B1" s="5" t="inlineStr">
        <is>
          <t>アメリカ</t>
        </is>
      </c>
      <c r="C1" s="5" t="inlineStr">
        <is>
          <t>イギリス</t>
        </is>
      </c>
      <c r="D1" s="5" t="inlineStr">
        <is>
          <t>オーストラリア</t>
        </is>
      </c>
      <c r="E1" s="5" t="inlineStr">
        <is>
          <t>EU27</t>
        </is>
      </c>
    </row>
    <row r="2">
      <c r="A2" s="12" t="inlineStr">
        <is>
          <t>燃油サーチャージ</t>
        </is>
      </c>
      <c r="B2" s="13" t="inlineStr">
        <is>
          <t>別途（8/1から12%）</t>
        </is>
      </c>
      <c r="C2" s="13" t="inlineStr">
        <is>
          <t>別途（8/1から12%）</t>
        </is>
      </c>
      <c r="D2" s="13" t="inlineStr">
        <is>
          <t>別途（8/1から12%）</t>
        </is>
      </c>
      <c r="E2" s="13" t="inlineStr">
        <is>
          <t>別途（8/1から12%）</t>
        </is>
      </c>
    </row>
    <row r="3">
      <c r="A3" s="12" t="inlineStr">
        <is>
          <t>通関系の固定費</t>
        </is>
      </c>
      <c r="B3" s="13" t="inlineStr">
        <is>
          <t>輸入通関手数料 245円/件</t>
        </is>
      </c>
      <c r="C3" s="13" t="inlineStr">
        <is>
          <t>なし</t>
        </is>
      </c>
      <c r="D3" s="13" t="inlineStr">
        <is>
          <t>なし（通常時）</t>
        </is>
      </c>
      <c r="E3" s="13" t="inlineStr">
        <is>
          <t>関税555円/関税分類番号</t>
        </is>
      </c>
    </row>
    <row r="4">
      <c r="A4" s="12" t="inlineStr">
        <is>
          <t>関税の事前徴収</t>
        </is>
      </c>
      <c r="B4" s="13" t="inlineStr">
        <is>
          <t>あり：申告額×事前設定レート＋関税額の2.1%</t>
        </is>
      </c>
      <c r="C4" s="13" t="inlineStr">
        <is>
          <t>なし（£135以下はeBayがVAT徴収）</t>
        </is>
      </c>
      <c r="D4" s="13" t="inlineStr">
        <is>
          <t>なし（AUD1,000以下はeBayがGST徴収）</t>
        </is>
      </c>
      <c r="E4" s="13" t="inlineStr">
        <is>
          <t>あり：555円/分類＋合計の2.1%</t>
        </is>
      </c>
    </row>
    <row r="5">
      <c r="A5" s="12" t="inlineStr">
        <is>
          <t>条件付き費用</t>
        </is>
      </c>
      <c r="B5" s="13" t="inlineStr">
        <is>
          <t>規定外寸法 2,475円</t>
        </is>
      </c>
      <c r="C5" s="13" t="inlineStr">
        <is>
          <t>異常時のみ（申告取消1,000円等）</t>
        </is>
      </c>
      <c r="D5" s="13" t="inlineStr">
        <is>
          <t>検疫・正式申告等（AUD1,000超や検査時のみ）</t>
        </is>
      </c>
      <c r="E5" s="13" t="inlineStr">
        <is>
          <t>バルキー2,520円、繁忙期割増34円(11/1〜12/31)</t>
        </is>
      </c>
    </row>
    <row r="6">
      <c r="A6" s="12" t="inlineStr">
        <is>
          <t>申告価値の上限</t>
        </is>
      </c>
      <c r="B6" s="13" t="inlineStr">
        <is>
          <t>1,300 USD</t>
        </is>
      </c>
      <c r="C6" s="13" t="inlineStr">
        <is>
          <t>£135（IOSS）</t>
        </is>
      </c>
      <c r="D6" s="13" t="inlineStr">
        <is>
          <t>AUD1,000/日・同一バイヤー</t>
        </is>
      </c>
      <c r="E6" s="13" t="inlineStr">
        <is>
          <t>€150（IOSS）</t>
        </is>
      </c>
    </row>
    <row r="7">
      <c r="A7" s="12" t="inlineStr">
        <is>
          <t>重量制限</t>
        </is>
      </c>
      <c r="B7" s="13" t="inlineStr">
        <is>
          <t>請求重量25kg以下（本土48州）／15kg以下（48州以外）</t>
        </is>
      </c>
      <c r="C7" s="13" t="inlineStr">
        <is>
          <t>実重量15kg以下・請求重量25kg以下</t>
        </is>
      </c>
      <c r="D7" s="13" t="inlineStr">
        <is>
          <t>実重量22kg以下・請求重量22.5kg以下</t>
        </is>
      </c>
      <c r="E7" s="13" t="inlineStr">
        <is>
          <t>請求重量30kg以下（ドイツ25kg・スウェーデン20kg）</t>
        </is>
      </c>
    </row>
    <row r="8">
      <c r="A8" s="12" t="inlineStr">
        <is>
          <t>推定配送所要日数</t>
        </is>
      </c>
      <c r="B8" s="13" t="inlineStr">
        <is>
          <t>8〜12営業日（本土48州）</t>
        </is>
      </c>
      <c r="C8" s="13" t="inlineStr">
        <is>
          <t>7〜10営業日</t>
        </is>
      </c>
      <c r="D8" s="13" t="inlineStr">
        <is>
          <t>6〜12営業日</t>
        </is>
      </c>
      <c r="E8" s="13" t="inlineStr">
        <is>
          <t>6〜16営業日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2026-07-30T04:50:27Z</dcterms:created>
  <dcterms:modified xmlns:dcterms="http://purl.org/dc/terms/" xmlns:xsi="http://www.w3.org/2001/XMLSchema-instance" xsi:type="dcterms:W3CDTF">2026-07-30T04:50:27Z</dcterms:modified>
</cp:coreProperties>
</file>